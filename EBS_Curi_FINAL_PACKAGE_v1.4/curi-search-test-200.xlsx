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검색 문장" sheetId="2" state="visible" r:id="rId4"/>
    <sheet name="질의 유형 설명" sheetId="3" state="visible" r:id="rId5"/>
  </sheets>
  <definedNames>
    <definedName function="false" hidden="true" localSheetId="1" name="_xlnm._FilterDatabase" vbProcedure="false">'검색 문장'!$A$1:$J$201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<sst xmlns="http://schemas.openxmlformats.org/spreadsheetml/2006/main" count="1497" uniqueCount="655">
  <si>
    <r>
      <rPr>
        <b val="true"/>
        <sz val="13"/>
        <rFont val="맑은 고딕"/>
        <family val="0"/>
        <charset val="1"/>
      </rPr>
      <t xml:space="preserve">Curi </t>
    </r>
    <r>
      <rPr>
        <b val="true"/>
        <sz val="13"/>
        <rFont val="Noto Sans CJK SC"/>
        <family val="2"/>
      </rPr>
      <t xml:space="preserve">자연어 검색 테스트 세트 요약</t>
    </r>
  </si>
  <si>
    <r>
      <rPr>
        <sz val="10"/>
        <color rgb="FF666666"/>
        <rFont val="Noto Sans CJK SC"/>
        <family val="2"/>
      </rPr>
      <t xml:space="preserve">노란 칸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Noto Sans CJK SC"/>
        <family val="2"/>
      </rPr>
      <t xml:space="preserve">검색 문장 시트 </t>
    </r>
    <r>
      <rPr>
        <sz val="10"/>
        <color rgb="FF666666"/>
        <rFont val="맑은 고딕"/>
        <family val="0"/>
        <charset val="1"/>
      </rPr>
      <t xml:space="preserve">H·I·J</t>
    </r>
    <r>
      <rPr>
        <sz val="10"/>
        <color rgb="FF666666"/>
        <rFont val="Noto Sans CJK SC"/>
        <family val="2"/>
      </rPr>
      <t xml:space="preserve">열</t>
    </r>
    <r>
      <rPr>
        <sz val="10"/>
        <color rgb="FF666666"/>
        <rFont val="맑은 고딕"/>
        <family val="0"/>
        <charset val="1"/>
      </rPr>
      <t xml:space="preserve">)</t>
    </r>
    <r>
      <rPr>
        <sz val="10"/>
        <color rgb="FF666666"/>
        <rFont val="Noto Sans CJK SC"/>
        <family val="2"/>
      </rPr>
      <t xml:space="preserve">에 결과를 입력하면 아래 표가 자동으로 계산됩니다</t>
    </r>
    <r>
      <rPr>
        <sz val="10"/>
        <color rgb="FF666666"/>
        <rFont val="맑은 고딕"/>
        <family val="0"/>
        <charset val="1"/>
      </rPr>
      <t xml:space="preserve">.</t>
    </r>
  </si>
  <si>
    <t xml:space="preserve">학년군</t>
  </si>
  <si>
    <t xml:space="preserve">과목</t>
  </si>
  <si>
    <t xml:space="preserve">문장 수</t>
  </si>
  <si>
    <t xml:space="preserve">결과 입력 수</t>
  </si>
  <si>
    <r>
      <rPr>
        <b val="true"/>
        <sz val="10"/>
        <color rgb="FFFFFFFF"/>
        <rFont val="Noto Sans CJK SC"/>
        <family val="2"/>
      </rPr>
      <t xml:space="preserve">평균 적합 수 </t>
    </r>
    <r>
      <rPr>
        <b val="true"/>
        <sz val="10"/>
        <color rgb="FFFFFFFF"/>
        <rFont val="맑은 고딕"/>
        <family val="0"/>
        <charset val="1"/>
      </rPr>
      <t xml:space="preserve">(0–5)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</si>
  <si>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순위 적합률</t>
    </r>
  </si>
  <si>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3-4</t>
    </r>
  </si>
  <si>
    <t xml:space="preserve">사회</t>
  </si>
  <si>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5-6</t>
    </r>
  </si>
  <si>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1</t>
    </r>
  </si>
  <si>
    <t xml:space="preserve">과학</t>
  </si>
  <si>
    <t xml:space="preserve">합계</t>
  </si>
  <si>
    <t xml:space="preserve">질의 유형</t>
  </si>
  <si>
    <r>
      <rPr>
        <b val="true"/>
        <sz val="10"/>
        <rFont val="Noto Sans CJK SC"/>
        <family val="2"/>
      </rPr>
      <t xml:space="preserve">평균 적합 수 </t>
    </r>
    <r>
      <rPr>
        <b val="true"/>
        <sz val="10"/>
        <rFont val="맑은 고딕"/>
        <family val="0"/>
        <charset val="1"/>
      </rPr>
      <t xml:space="preserve">(0–5)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</si>
  <si>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순위 적합률</t>
    </r>
  </si>
  <si>
    <t xml:space="preserve">키워드형</t>
  </si>
  <si>
    <t xml:space="preserve">질문형</t>
  </si>
  <si>
    <t xml:space="preserve">수업 활용형</t>
  </si>
  <si>
    <t xml:space="preserve">형식 지정형</t>
  </si>
  <si>
    <r>
      <rPr>
        <sz val="10"/>
        <rFont val="Noto Sans CJK SC"/>
        <family val="2"/>
      </rPr>
      <t xml:space="preserve">구어체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</si>
  <si>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오타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띄어쓰기</t>
    </r>
  </si>
  <si>
    <r>
      <rPr>
        <sz val="10"/>
        <rFont val="Noto Sans CJK SC"/>
        <family val="2"/>
      </rPr>
      <t xml:space="preserve">복합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융합 조건</t>
    </r>
  </si>
  <si>
    <t xml:space="preserve">제외 조건</t>
  </si>
  <si>
    <t xml:space="preserve">프로그램명 포함</t>
  </si>
  <si>
    <t xml:space="preserve">ID</t>
  </si>
  <si>
    <r>
      <rPr>
        <b val="true"/>
        <sz val="10"/>
        <color rgb="FFFFFFFF"/>
        <rFont val="Noto Sans CJK SC"/>
        <family val="2"/>
      </rPr>
      <t xml:space="preserve">단원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주제</t>
    </r>
  </si>
  <si>
    <t xml:space="preserve">검색 문장</t>
  </si>
  <si>
    <r>
      <rPr>
        <b val="true"/>
        <sz val="10"/>
        <color rgb="FFFFFFFF"/>
        <rFont val="Noto Sans CJK SC"/>
        <family val="2"/>
      </rPr>
      <t xml:space="preserve">기대 자료 유형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</si>
  <si>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상위 </t>
    </r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개 중 적합 수 </t>
    </r>
    <r>
      <rPr>
        <b val="true"/>
        <sz val="10"/>
        <color rgb="FFFFFFFF"/>
        <rFont val="맑은 고딕"/>
        <family val="0"/>
        <charset val="1"/>
      </rPr>
      <t xml:space="preserve">(0–5)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</si>
  <si>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순위 적합 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</si>
  <si>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메모</t>
  </si>
  <si>
    <t xml:space="preserve">Q001</t>
  </si>
  <si>
    <t xml:space="preserve">우리 고장</t>
  </si>
  <si>
    <t xml:space="preserve">우리 고장의 모습</t>
  </si>
  <si>
    <t xml:space="preserve">무관</t>
  </si>
  <si>
    <t xml:space="preserve">Q002</t>
  </si>
  <si>
    <t xml:space="preserve">지도 읽기</t>
  </si>
  <si>
    <r>
      <rPr>
        <sz val="10"/>
        <rFont val="Noto Sans CJK SC"/>
        <family val="2"/>
      </rPr>
      <t xml:space="preserve">지도에서 방위표는 어떻게 읽나요</t>
    </r>
    <r>
      <rPr>
        <sz val="10"/>
        <rFont val="맑은 고딕"/>
        <family val="0"/>
        <charset val="1"/>
      </rPr>
      <t xml:space="preserve">?</t>
    </r>
  </si>
  <si>
    <t xml:space="preserve">클립</t>
  </si>
  <si>
    <t xml:space="preserve">Q003</t>
  </si>
  <si>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지도 읽기 수업 도입에 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분짜리 영상</t>
    </r>
  </si>
  <si>
    <t xml:space="preserve">Q004</t>
  </si>
  <si>
    <t xml:space="preserve">고장의 문화유산</t>
  </si>
  <si>
    <t xml:space="preserve">고장의 문화유산을 소개하는 애니메이션</t>
  </si>
  <si>
    <t xml:space="preserve">Q005</t>
  </si>
  <si>
    <t xml:space="preserve">옛날과 오늘날의 생활</t>
  </si>
  <si>
    <t xml:space="preserve">옛날 사람들은 어떻게 빨래를 했을까</t>
  </si>
  <si>
    <t xml:space="preserve">방송 회차</t>
  </si>
  <si>
    <t xml:space="preserve">Q006</t>
  </si>
  <si>
    <t xml:space="preserve">교통 변화</t>
  </si>
  <si>
    <t xml:space="preserve">옛날 교통수단과 오늘날 교통수단 비교</t>
  </si>
  <si>
    <t xml:space="preserve">Q007</t>
  </si>
  <si>
    <t xml:space="preserve">통신 변화</t>
  </si>
  <si>
    <t xml:space="preserve">애들한테 옛날 통신수단 보여줄 만한 거 없나요</t>
  </si>
  <si>
    <t xml:space="preserve">Q008</t>
  </si>
  <si>
    <t xml:space="preserve">세시 풍속</t>
  </si>
  <si>
    <t xml:space="preserve">설날 추석 세시 풍속</t>
  </si>
  <si>
    <t xml:space="preserve">Q009</t>
  </si>
  <si>
    <t xml:space="preserve">가족의 변화</t>
  </si>
  <si>
    <t xml:space="preserve">가족의 모습은 시대에 따라 어떻게 달라졌을까</t>
  </si>
  <si>
    <t xml:space="preserve">Q010</t>
  </si>
  <si>
    <t xml:space="preserve">촌락의 생활</t>
  </si>
  <si>
    <t xml:space="preserve">농촌 어촌 산지촌 생활 모습</t>
  </si>
  <si>
    <t xml:space="preserve">Q011</t>
  </si>
  <si>
    <t xml:space="preserve">도시 문제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</si>
  <si>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촌락과 도시 단원에서 도시 문제를 보여줄 다큐</t>
    </r>
  </si>
  <si>
    <t xml:space="preserve">Q012</t>
  </si>
  <si>
    <t xml:space="preserve">촌락과 도시의 교류</t>
  </si>
  <si>
    <t xml:space="preserve">도시와 촌락은 서로 어떤 도움을 주고받나요</t>
  </si>
  <si>
    <t xml:space="preserve">Q013</t>
  </si>
  <si>
    <t xml:space="preserve">생산과 소비</t>
  </si>
  <si>
    <t xml:space="preserve">생산과 소비의 뜻</t>
  </si>
  <si>
    <t xml:space="preserve">Q014</t>
  </si>
  <si>
    <t xml:space="preserve">시장</t>
  </si>
  <si>
    <t xml:space="preserve">전통시장 상인 인터뷰 영상</t>
  </si>
  <si>
    <t xml:space="preserve">Q015</t>
  </si>
  <si>
    <t xml:space="preserve">희소성</t>
  </si>
  <si>
    <t xml:space="preserve">희소썽 쉽게 설명</t>
  </si>
  <si>
    <t xml:space="preserve">Q016</t>
  </si>
  <si>
    <t xml:space="preserve">지역 간 경제 교류</t>
  </si>
  <si>
    <t xml:space="preserve">우리 지역 특산물은 어떻게 다른 지역으로 갈까</t>
  </si>
  <si>
    <t xml:space="preserve">Q017</t>
  </si>
  <si>
    <t xml:space="preserve">주민 참여</t>
  </si>
  <si>
    <t xml:space="preserve">주민 참여 지역 문제 해결</t>
  </si>
  <si>
    <t xml:space="preserve">Q018</t>
  </si>
  <si>
    <t xml:space="preserve">공공 기관</t>
  </si>
  <si>
    <t xml:space="preserve">시청이나 소방서 같은 공공 기관은 무슨 일을 하나요</t>
  </si>
  <si>
    <t xml:space="preserve">Q019</t>
  </si>
  <si>
    <t xml:space="preserve">지역 문제 해결</t>
  </si>
  <si>
    <t xml:space="preserve">학급 회의로 지역 문제 해결 방법 토의할 때 보여줄 사례</t>
  </si>
  <si>
    <t xml:space="preserve">Q020</t>
  </si>
  <si>
    <t xml:space="preserve">저출산</t>
  </si>
  <si>
    <t xml:space="preserve">아이가 줄어들면 우리 동네는 어떻게 될까</t>
  </si>
  <si>
    <t xml:space="preserve">Q021</t>
  </si>
  <si>
    <t xml:space="preserve">고령화</t>
  </si>
  <si>
    <t xml:space="preserve">고령화 사회 노인 생활</t>
  </si>
  <si>
    <t xml:space="preserve">Q022</t>
  </si>
  <si>
    <t xml:space="preserve">정보화</t>
  </si>
  <si>
    <t xml:space="preserve">스마트폰 때문에 생활이 어떻게 바뀌었는지 애들 눈높이로</t>
  </si>
  <si>
    <t xml:space="preserve">Q023</t>
  </si>
  <si>
    <r>
      <rPr>
        <sz val="10"/>
        <rFont val="Noto Sans CJK SC"/>
        <family val="2"/>
      </rPr>
      <t xml:space="preserve">세계화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다문화</t>
    </r>
  </si>
  <si>
    <t xml:space="preserve">다문화 가정 이웃</t>
  </si>
  <si>
    <t xml:space="preserve">Q024</t>
  </si>
  <si>
    <t xml:space="preserve">문화 다양성</t>
  </si>
  <si>
    <r>
      <rPr>
        <sz val="10"/>
        <rFont val="Noto Sans CJK SC"/>
        <family val="2"/>
      </rPr>
      <t xml:space="preserve">편견 없이 다른 문화를 존중하는 내용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강의 말고 짧은 클립</t>
    </r>
  </si>
  <si>
    <t xml:space="preserve">Q025</t>
  </si>
  <si>
    <t xml:space="preserve">지명의 유래</t>
  </si>
  <si>
    <t xml:space="preserve">우리 동네 이름에는 어떤 뜻이 숨어 있을까</t>
  </si>
  <si>
    <t xml:space="preserve">Q026</t>
  </si>
  <si>
    <t xml:space="preserve">디지털 영상 지도</t>
  </si>
  <si>
    <t xml:space="preserve">디지털 영상 지도 사용하는 방법 시연</t>
  </si>
  <si>
    <t xml:space="preserve">Q027</t>
  </si>
  <si>
    <t xml:space="preserve">우리 지역 소개</t>
  </si>
  <si>
    <t xml:space="preserve">한국기행에서 우리 지역 소개한 편</t>
  </si>
  <si>
    <t xml:space="preserve">Q028</t>
  </si>
  <si>
    <t xml:space="preserve">고장의 환경</t>
  </si>
  <si>
    <t xml:space="preserve">고장의자연환경과인문환경</t>
  </si>
  <si>
    <t xml:space="preserve">Q029</t>
  </si>
  <si>
    <t xml:space="preserve">옛날 놀이</t>
  </si>
  <si>
    <t xml:space="preserve">옛날 아이들 놀이 실제 모습 담긴 자료 화면</t>
  </si>
  <si>
    <t xml:space="preserve">Q030</t>
  </si>
  <si>
    <t xml:space="preserve">지역 축제</t>
  </si>
  <si>
    <t xml:space="preserve">지역 축제가 경제에 주는 영향과 문화적 의미를 함께 보여주는 영상</t>
  </si>
  <si>
    <t xml:space="preserve">Q031</t>
  </si>
  <si>
    <t xml:space="preserve">국토의 위치와 영역</t>
  </si>
  <si>
    <t xml:space="preserve">우리나라 국토의 위치와 영역</t>
  </si>
  <si>
    <t xml:space="preserve">Q032</t>
  </si>
  <si>
    <t xml:space="preserve">독도</t>
  </si>
  <si>
    <t xml:space="preserve">강의 말고 다큐로 된 독도 영상</t>
  </si>
  <si>
    <t xml:space="preserve">Q033</t>
  </si>
  <si>
    <t xml:space="preserve">지형</t>
  </si>
  <si>
    <t xml:space="preserve">우리나라는 왜 동쪽이 높고 서쪽이 낮을까</t>
  </si>
  <si>
    <t xml:space="preserve">Q034</t>
  </si>
  <si>
    <t xml:space="preserve">기후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</si>
  <si>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우리나라 기후 특징 수업용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분 이내 클립</t>
    </r>
  </si>
  <si>
    <t xml:space="preserve">Q035</t>
  </si>
  <si>
    <t xml:space="preserve">자연재해</t>
  </si>
  <si>
    <t xml:space="preserve">태풍 홍수 대비 방법</t>
  </si>
  <si>
    <t xml:space="preserve">Q036</t>
  </si>
  <si>
    <t xml:space="preserve">인구 분포</t>
  </si>
  <si>
    <t xml:space="preserve">사람들은 왜 수도권에 몰려 살까</t>
  </si>
  <si>
    <t xml:space="preserve">Q037</t>
  </si>
  <si>
    <t xml:space="preserve">인권</t>
  </si>
  <si>
    <t xml:space="preserve">인권의 뜻과 인권 보호</t>
  </si>
  <si>
    <t xml:space="preserve">Q038</t>
  </si>
  <si>
    <r>
      <rPr>
        <sz val="10"/>
        <rFont val="Noto Sans CJK SC"/>
        <family val="2"/>
      </rPr>
      <t xml:space="preserve">지식채널</t>
    </r>
    <r>
      <rPr>
        <sz val="10"/>
        <rFont val="맑은 고딕"/>
        <family val="0"/>
        <charset val="1"/>
      </rPr>
      <t xml:space="preserve">e </t>
    </r>
    <r>
      <rPr>
        <sz val="10"/>
        <rFont val="Noto Sans CJK SC"/>
        <family val="2"/>
      </rPr>
      <t xml:space="preserve">인권 관련 편</t>
    </r>
  </si>
  <si>
    <t xml:space="preserve">Q039</t>
  </si>
  <si>
    <t xml:space="preserve">헌법</t>
  </si>
  <si>
    <t xml:space="preserve">헌법은 왜 필요한가요</t>
  </si>
  <si>
    <t xml:space="preserve">Q040</t>
  </si>
  <si>
    <t xml:space="preserve">법의 역할</t>
  </si>
  <si>
    <r>
      <rPr>
        <sz val="10"/>
        <rFont val="Noto Sans CJK SC"/>
        <family val="2"/>
      </rPr>
      <t xml:space="preserve">법을 왜 지켜야 하는지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학년이 공감할 만한 사례 영상</t>
    </r>
  </si>
  <si>
    <t xml:space="preserve">Q041</t>
  </si>
  <si>
    <t xml:space="preserve">고조선</t>
  </si>
  <si>
    <t xml:space="preserve">고조선 건국 이야기 단군</t>
  </si>
  <si>
    <t xml:space="preserve">Q042</t>
  </si>
  <si>
    <t xml:space="preserve">삼국 시대</t>
  </si>
  <si>
    <t xml:space="preserve">삼국 시대 문화유산 애니메이션</t>
  </si>
  <si>
    <t xml:space="preserve">Q043</t>
  </si>
  <si>
    <t xml:space="preserve">고려</t>
  </si>
  <si>
    <t xml:space="preserve">고려청자는 어떻게 만들었을까</t>
  </si>
  <si>
    <t xml:space="preserve">Q044</t>
  </si>
  <si>
    <t xml:space="preserve">조선 전기</t>
  </si>
  <si>
    <r>
      <rPr>
        <sz val="10"/>
        <rFont val="Noto Sans CJK SC"/>
        <family val="2"/>
      </rPr>
      <t xml:space="preserve">역사채널</t>
    </r>
    <r>
      <rPr>
        <sz val="10"/>
        <rFont val="맑은 고딕"/>
        <family val="0"/>
        <charset val="1"/>
      </rPr>
      <t xml:space="preserve">e </t>
    </r>
    <r>
      <rPr>
        <sz val="10"/>
        <rFont val="Noto Sans CJK SC"/>
        <family val="2"/>
      </rPr>
      <t xml:space="preserve">세종대왕 한글 창제</t>
    </r>
  </si>
  <si>
    <t xml:space="preserve">Q045</t>
  </si>
  <si>
    <t xml:space="preserve">임진왜란</t>
  </si>
  <si>
    <t xml:space="preserve">임진왜란 이순신 수업 도입용 짧은 영상</t>
  </si>
  <si>
    <t xml:space="preserve">Q046</t>
  </si>
  <si>
    <t xml:space="preserve">조선 후기 실학</t>
  </si>
  <si>
    <t xml:space="preserve">정약룡 거중기</t>
  </si>
  <si>
    <t xml:space="preserve">Q047</t>
  </si>
  <si>
    <t xml:space="preserve">개항기</t>
  </si>
  <si>
    <t xml:space="preserve">흥선대원군 통상 수교 거부</t>
  </si>
  <si>
    <t xml:space="preserve">Q048</t>
  </si>
  <si>
    <t xml:space="preserve">독립운동</t>
  </si>
  <si>
    <r>
      <rPr>
        <sz val="10"/>
        <rFont val="맑은 고딕"/>
        <family val="0"/>
        <charset val="1"/>
      </rPr>
      <t xml:space="preserve">3·1 </t>
    </r>
    <r>
      <rPr>
        <sz val="10"/>
        <rFont val="Noto Sans CJK SC"/>
        <family val="2"/>
      </rPr>
      <t xml:space="preserve">운동은 어떻게 전국으로 퍼졌을까</t>
    </r>
  </si>
  <si>
    <t xml:space="preserve">Q049</t>
  </si>
  <si>
    <t xml:space="preserve">독립운동가 실제 사진과 기록 자료</t>
  </si>
  <si>
    <t xml:space="preserve">Q050</t>
  </si>
  <si>
    <r>
      <rPr>
        <sz val="10"/>
        <rFont val="Noto Sans CJK SC"/>
        <family val="2"/>
      </rPr>
      <t xml:space="preserve">광복과 </t>
    </r>
    <r>
      <rPr>
        <sz val="10"/>
        <rFont val="맑은 고딕"/>
        <family val="0"/>
        <charset val="1"/>
      </rPr>
      <t xml:space="preserve">6·25 </t>
    </r>
    <r>
      <rPr>
        <sz val="10"/>
        <rFont val="Noto Sans CJK SC"/>
        <family val="2"/>
      </rPr>
      <t xml:space="preserve">전쟁</t>
    </r>
  </si>
  <si>
    <t xml:space="preserve">Q051</t>
  </si>
  <si>
    <t xml:space="preserve">민주화</t>
  </si>
  <si>
    <r>
      <rPr>
        <sz val="10"/>
        <rFont val="맑은 고딕"/>
        <family val="0"/>
        <charset val="1"/>
      </rPr>
      <t xml:space="preserve">4·19 </t>
    </r>
    <r>
      <rPr>
        <sz val="10"/>
        <rFont val="Noto Sans CJK SC"/>
        <family val="2"/>
      </rPr>
      <t xml:space="preserve">혁명과 </t>
    </r>
    <r>
      <rPr>
        <sz val="10"/>
        <rFont val="맑은 고딕"/>
        <family val="0"/>
        <charset val="1"/>
      </rPr>
      <t xml:space="preserve">5·18 </t>
    </r>
    <r>
      <rPr>
        <sz val="10"/>
        <rFont val="Noto Sans CJK SC"/>
        <family val="2"/>
      </rPr>
      <t xml:space="preserve">민주화 운동은 어떤 사건이었나요</t>
    </r>
  </si>
  <si>
    <t xml:space="preserve">Q052</t>
  </si>
  <si>
    <t xml:space="preserve">민주주의</t>
  </si>
  <si>
    <t xml:space="preserve">민주주의가 뭔지 초등학생한테 설명하기 좋은 거</t>
  </si>
  <si>
    <t xml:space="preserve">Q053</t>
  </si>
  <si>
    <t xml:space="preserve">선거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</si>
  <si>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전교 어린이회 선거 전에 보여줄 선거 원칙 영상</t>
    </r>
  </si>
  <si>
    <t xml:space="preserve">Q054</t>
  </si>
  <si>
    <t xml:space="preserve">국가 기관</t>
  </si>
  <si>
    <t xml:space="preserve">삼권 분립 국회 정부 법원</t>
  </si>
  <si>
    <t xml:space="preserve">Q055</t>
  </si>
  <si>
    <t xml:space="preserve">가계와 기업</t>
  </si>
  <si>
    <t xml:space="preserve">가계와 기업은 시장에서 어떤 역할을 하나요</t>
  </si>
  <si>
    <t xml:space="preserve">Q056</t>
  </si>
  <si>
    <t xml:space="preserve">경제 성장</t>
  </si>
  <si>
    <t xml:space="preserve">한강의 기적 경제 성장 과정</t>
  </si>
  <si>
    <t xml:space="preserve">Q057</t>
  </si>
  <si>
    <t xml:space="preserve">무역</t>
  </si>
  <si>
    <t xml:space="preserve">우리나라 무역과 다른 나라와의 경제 교류를 그래프와 함께</t>
  </si>
  <si>
    <t xml:space="preserve">Q058</t>
  </si>
  <si>
    <t xml:space="preserve">세계 지도</t>
  </si>
  <si>
    <t xml:space="preserve">세계 지도와 지구본 차이</t>
  </si>
  <si>
    <t xml:space="preserve">Q059</t>
  </si>
  <si>
    <t xml:space="preserve">세계의 기후와 생활</t>
  </si>
  <si>
    <t xml:space="preserve">세계테마기행 사막 지역 사람들 생활</t>
  </si>
  <si>
    <t xml:space="preserve">Q060</t>
  </si>
  <si>
    <t xml:space="preserve">이웃 나라</t>
  </si>
  <si>
    <t xml:space="preserve">중국 일본 러시아는 우리나라와 어떤 관계일까</t>
  </si>
  <si>
    <t xml:space="preserve">Q061</t>
  </si>
  <si>
    <t xml:space="preserve">통일</t>
  </si>
  <si>
    <t xml:space="preserve">남북통일 필요성</t>
  </si>
  <si>
    <t xml:space="preserve">Q062</t>
  </si>
  <si>
    <t xml:space="preserve">지구촌 갈등</t>
  </si>
  <si>
    <t xml:space="preserve">지구촌 분쟁 사례 조사 활동 전에 보여줄 영상</t>
  </si>
  <si>
    <t xml:space="preserve">Q063</t>
  </si>
  <si>
    <t xml:space="preserve">지속 가능한 미래</t>
  </si>
  <si>
    <t xml:space="preserve">기후 위기와 지속 가능한 미래를 사회 과학 융합으로 다룬 다큐</t>
  </si>
  <si>
    <t xml:space="preserve">Q064</t>
  </si>
  <si>
    <t xml:space="preserve">난민</t>
  </si>
  <si>
    <t xml:space="preserve">난민은 왜 생기고 우리는 무엇을 할 수 있을까</t>
  </si>
  <si>
    <t xml:space="preserve">Q065</t>
  </si>
  <si>
    <t xml:space="preserve">국제기구</t>
  </si>
  <si>
    <t xml:space="preserve">유엔과 국제기구 하는 일</t>
  </si>
  <si>
    <t xml:space="preserve">Q066</t>
  </si>
  <si>
    <t xml:space="preserve">공정 무역</t>
  </si>
  <si>
    <t xml:space="preserve">공정무역 초콜릿 생산 과정 보여주는 영상</t>
  </si>
  <si>
    <t xml:space="preserve">Q067</t>
  </si>
  <si>
    <t xml:space="preserve">생활 속 법</t>
  </si>
  <si>
    <t xml:space="preserve">어린이보호구역법 왜생겼나</t>
  </si>
  <si>
    <t xml:space="preserve">Q068</t>
  </si>
  <si>
    <t xml:space="preserve">어린이 인권</t>
  </si>
  <si>
    <t xml:space="preserve">어린이 인권 침해 사례인데 너무 자극적이지 않은 영상</t>
  </si>
  <si>
    <t xml:space="preserve">Q069</t>
  </si>
  <si>
    <t xml:space="preserve">국토 개발</t>
  </si>
  <si>
    <t xml:space="preserve">도시 개발과 환경 보호는 함께 할 수 있을까</t>
  </si>
  <si>
    <t xml:space="preserve">Q070</t>
  </si>
  <si>
    <t xml:space="preserve">세계 유산</t>
  </si>
  <si>
    <t xml:space="preserve">유네스코 세계유산 종묘 석굴암</t>
  </si>
  <si>
    <t xml:space="preserve">Q071</t>
  </si>
  <si>
    <t xml:space="preserve">조선의 신분 제도</t>
  </si>
  <si>
    <t xml:space="preserve">조선 시대 양반 상민 노비 생활 비교되는 재밌는 거</t>
  </si>
  <si>
    <t xml:space="preserve">Q072</t>
  </si>
  <si>
    <t xml:space="preserve">개항과 근대화</t>
  </si>
  <si>
    <r>
      <rPr>
        <sz val="10"/>
        <rFont val="맑은 고딕"/>
        <family val="0"/>
        <charset val="1"/>
      </rPr>
      <t xml:space="preserve">EBS </t>
    </r>
    <r>
      <rPr>
        <sz val="10"/>
        <rFont val="Noto Sans CJK SC"/>
        <family val="2"/>
      </rPr>
      <t xml:space="preserve">다큐프라임 조선 개항과 근대화</t>
    </r>
  </si>
  <si>
    <t xml:space="preserve">Q073</t>
  </si>
  <si>
    <t xml:space="preserve">저출생</t>
  </si>
  <si>
    <t xml:space="preserve">저출생 문제를 인구 그래프와 실제 가족 이야기로 함께 보여주는 다큐</t>
  </si>
  <si>
    <t xml:space="preserve">Q074</t>
  </si>
  <si>
    <t xml:space="preserve">합리적 선택</t>
  </si>
  <si>
    <t xml:space="preserve">용돈을 어떻게 써야 합리적인 선택일까</t>
  </si>
  <si>
    <t xml:space="preserve">Q075</t>
  </si>
  <si>
    <t xml:space="preserve">지구촌 환경 협력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</si>
  <si>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지구촌 환경 문제 마무리 차시용 영상</t>
    </r>
  </si>
  <si>
    <t xml:space="preserve">Q076</t>
  </si>
  <si>
    <t xml:space="preserve">위치와 시간</t>
  </si>
  <si>
    <t xml:space="preserve">위도와 경도 표준시</t>
  </si>
  <si>
    <t xml:space="preserve">Q077</t>
  </si>
  <si>
    <t xml:space="preserve">시차</t>
  </si>
  <si>
    <t xml:space="preserve">나라마다 시간이 다른 이유는 무엇일까</t>
  </si>
  <si>
    <t xml:space="preserve">Q078</t>
  </si>
  <si>
    <t xml:space="preserve">열대 기후 지역</t>
  </si>
  <si>
    <t xml:space="preserve">세계테마기행 열대 우림 기후 사람들</t>
  </si>
  <si>
    <t xml:space="preserve">Q079</t>
  </si>
  <si>
    <t xml:space="preserve">건조 기후 지역</t>
  </si>
  <si>
    <t xml:space="preserve">사막 유목민 생활 다큐</t>
  </si>
  <si>
    <t xml:space="preserve">Q080</t>
  </si>
  <si>
    <t xml:space="preserve">한대 기후 지역</t>
  </si>
  <si>
    <t xml:space="preserve">북극 사람들은 추위에 어떻게 적응해 살까</t>
  </si>
  <si>
    <t xml:space="preserve">Q081</t>
  </si>
  <si>
    <t xml:space="preserve">고산 기후</t>
  </si>
  <si>
    <t xml:space="preserve">안데스 고산 도시 생활</t>
  </si>
  <si>
    <t xml:space="preserve">Q082</t>
  </si>
  <si>
    <t xml:space="preserve">지진과 화산 피해를 지리와 과학 시각으로 함께 보는 자료</t>
  </si>
  <si>
    <t xml:space="preserve">Q083</t>
  </si>
  <si>
    <t xml:space="preserve">자원</t>
  </si>
  <si>
    <t xml:space="preserve">화석 연료 신재생 에너지 자원 분포</t>
  </si>
  <si>
    <t xml:space="preserve">Q084</t>
  </si>
  <si>
    <t xml:space="preserve">자원 갈등</t>
  </si>
  <si>
    <t xml:space="preserve">석유 때문에 나라끼리 분쟁이 생기는 이유</t>
  </si>
  <si>
    <t xml:space="preserve">Q085</t>
  </si>
  <si>
    <t xml:space="preserve">관광</t>
  </si>
  <si>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지리 시간에 보여줄 세계 관광지 영상 재밌는 걸로</t>
    </r>
  </si>
  <si>
    <t xml:space="preserve">Q086</t>
  </si>
  <si>
    <t xml:space="preserve">사회화</t>
  </si>
  <si>
    <t xml:space="preserve">사회화 과정과 사회화 기관</t>
  </si>
  <si>
    <t xml:space="preserve">Q087</t>
  </si>
  <si>
    <t xml:space="preserve">지위와 역할</t>
  </si>
  <si>
    <t xml:space="preserve">역할 갈등은 어떤 상황에서 생기나요</t>
  </si>
  <si>
    <t xml:space="preserve">Q088</t>
  </si>
  <si>
    <t xml:space="preserve">문화 상대주의</t>
  </si>
  <si>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문화 단원에서 문화 상대주의 토론 전에 보여줄 사례 영상</t>
    </r>
  </si>
  <si>
    <t xml:space="preserve">Q089</t>
  </si>
  <si>
    <t xml:space="preserve">문화 변동</t>
  </si>
  <si>
    <t xml:space="preserve">문화접번 예시</t>
  </si>
  <si>
    <t xml:space="preserve">Q090</t>
  </si>
  <si>
    <t xml:space="preserve">대중문화</t>
  </si>
  <si>
    <t xml:space="preserve">대중 매체와 대중문화 비판적 수용</t>
  </si>
  <si>
    <t xml:space="preserve">Q091</t>
  </si>
  <si>
    <t xml:space="preserve">정치의 의미</t>
  </si>
  <si>
    <t xml:space="preserve">정치는 왜 우리 일상과 관련이 있을까</t>
  </si>
  <si>
    <t xml:space="preserve">Q092</t>
  </si>
  <si>
    <t xml:space="preserve">민주 정치 발전</t>
  </si>
  <si>
    <t xml:space="preserve">아테네 직접 민주 정치 애니메이션</t>
  </si>
  <si>
    <t xml:space="preserve">Q093</t>
  </si>
  <si>
    <t xml:space="preserve">정부 형태</t>
  </si>
  <si>
    <t xml:space="preserve">대통령제와 의원 내각제 비교</t>
  </si>
  <si>
    <t xml:space="preserve">강의</t>
  </si>
  <si>
    <t xml:space="preserve">Q094</t>
  </si>
  <si>
    <t xml:space="preserve">정치 참여</t>
  </si>
  <si>
    <r>
      <rPr>
        <sz val="10"/>
        <rFont val="Noto Sans CJK SC"/>
        <family val="2"/>
      </rPr>
      <t xml:space="preserve">시민 정치 참여 방법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선거 말고 다른 방법도</t>
    </r>
  </si>
  <si>
    <t xml:space="preserve">Q095</t>
  </si>
  <si>
    <t xml:space="preserve">법의 분류</t>
  </si>
  <si>
    <t xml:space="preserve">사법과 공법은 어떻게 다를까</t>
  </si>
  <si>
    <t xml:space="preserve">Q096</t>
  </si>
  <si>
    <t xml:space="preserve">재판</t>
  </si>
  <si>
    <t xml:space="preserve">모의 재판 진행 과정 보여주는 영상</t>
  </si>
  <si>
    <t xml:space="preserve">Q097</t>
  </si>
  <si>
    <t xml:space="preserve">인권 보장</t>
  </si>
  <si>
    <t xml:space="preserve">인권 침해 구제 방법과 실제 사례를 같이 담은 영상</t>
  </si>
  <si>
    <t xml:space="preserve">Q098</t>
  </si>
  <si>
    <t xml:space="preserve">지역화</t>
  </si>
  <si>
    <t xml:space="preserve">지역 브랜드 지리적 표시제</t>
  </si>
  <si>
    <t xml:space="preserve">Q099</t>
  </si>
  <si>
    <r>
      <rPr>
        <sz val="10"/>
        <rFont val="Noto Sans CJK SC"/>
        <family val="2"/>
      </rPr>
      <t xml:space="preserve">지식채널</t>
    </r>
    <r>
      <rPr>
        <sz val="10"/>
        <rFont val="맑은 고딕"/>
        <family val="0"/>
        <charset val="1"/>
      </rPr>
      <t xml:space="preserve">e </t>
    </r>
    <r>
      <rPr>
        <sz val="10"/>
        <rFont val="Noto Sans CJK SC"/>
        <family val="2"/>
      </rPr>
      <t xml:space="preserve">도시 문제</t>
    </r>
  </si>
  <si>
    <t xml:space="preserve">Q100</t>
  </si>
  <si>
    <t xml:space="preserve">기후 변화</t>
  </si>
  <si>
    <t xml:space="preserve">기후 변화로 사라지는 섬나라 얘기 짧게</t>
  </si>
  <si>
    <t xml:space="preserve">Q101</t>
  </si>
  <si>
    <t xml:space="preserve">물질의 성질</t>
  </si>
  <si>
    <t xml:space="preserve">물체와 물질의 차이</t>
  </si>
  <si>
    <t xml:space="preserve">Q102</t>
  </si>
  <si>
    <t xml:space="preserve">왜 컵은 유리나 플라스틱으로 만들까</t>
  </si>
  <si>
    <t xml:space="preserve">Q103</t>
  </si>
  <si>
    <t xml:space="preserve">동물의 생활</t>
  </si>
  <si>
    <t xml:space="preserve">땅속에 사는 동물 실제 영상</t>
  </si>
  <si>
    <t xml:space="preserve">Q104</t>
  </si>
  <si>
    <t xml:space="preserve">동물의 분류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</si>
  <si>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동물의 생활 단원 분류 활동용 영상</t>
    </r>
  </si>
  <si>
    <t xml:space="preserve">Q105</t>
  </si>
  <si>
    <t xml:space="preserve">지표의 변화</t>
  </si>
  <si>
    <t xml:space="preserve">흐르는 물에 의한 침식 퇴적</t>
  </si>
  <si>
    <t xml:space="preserve">Q106</t>
  </si>
  <si>
    <t xml:space="preserve">흙의 생성</t>
  </si>
  <si>
    <t xml:space="preserve">흙은 어떻게 만들어질까</t>
  </si>
  <si>
    <t xml:space="preserve">Q107</t>
  </si>
  <si>
    <t xml:space="preserve">소리의 성질</t>
  </si>
  <si>
    <t xml:space="preserve">소리의 세기와 높낮이 실험</t>
  </si>
  <si>
    <t xml:space="preserve">Q108</t>
  </si>
  <si>
    <t xml:space="preserve">소리의 전달</t>
  </si>
  <si>
    <t xml:space="preserve">실 전화기는 어떻게 소리가 전달될까</t>
  </si>
  <si>
    <t xml:space="preserve">Q109</t>
  </si>
  <si>
    <t xml:space="preserve">자석</t>
  </si>
  <si>
    <r>
      <rPr>
        <sz val="10"/>
        <rFont val="Noto Sans CJK SC"/>
        <family val="2"/>
      </rPr>
      <t xml:space="preserve">자석의 극 </t>
    </r>
    <r>
      <rPr>
        <sz val="10"/>
        <rFont val="맑은 고딕"/>
        <family val="0"/>
        <charset val="1"/>
      </rPr>
      <t xml:space="preserve">N</t>
    </r>
    <r>
      <rPr>
        <sz val="10"/>
        <rFont val="Noto Sans CJK SC"/>
        <family val="2"/>
      </rPr>
      <t xml:space="preserve">극 </t>
    </r>
    <r>
      <rPr>
        <sz val="10"/>
        <rFont val="맑은 고딕"/>
        <family val="0"/>
        <charset val="1"/>
      </rPr>
      <t xml:space="preserve">S</t>
    </r>
    <r>
      <rPr>
        <sz val="10"/>
        <rFont val="Noto Sans CJK SC"/>
        <family val="2"/>
      </rPr>
      <t xml:space="preserve">극</t>
    </r>
  </si>
  <si>
    <t xml:space="preserve">Q110</t>
  </si>
  <si>
    <t xml:space="preserve">나침반</t>
  </si>
  <si>
    <t xml:space="preserve">나침판 만드는 실험</t>
  </si>
  <si>
    <t xml:space="preserve">Q111</t>
  </si>
  <si>
    <t xml:space="preserve">지구의 모습</t>
  </si>
  <si>
    <t xml:space="preserve">지구는 왜 둥글게 보일까</t>
  </si>
  <si>
    <t xml:space="preserve">Q112</t>
  </si>
  <si>
    <t xml:space="preserve">달의 모습</t>
  </si>
  <si>
    <t xml:space="preserve">달의 표면 충돌구</t>
  </si>
  <si>
    <t xml:space="preserve">Q113</t>
  </si>
  <si>
    <t xml:space="preserve">식물의 한살이</t>
  </si>
  <si>
    <t xml:space="preserve">강낭콩 싹이 트는 과정 타임랩스</t>
  </si>
  <si>
    <t xml:space="preserve">Q114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</si>
  <si>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식물의 한살이 관찰 일지 쓰기 전에 보여줄 영상</t>
    </r>
  </si>
  <si>
    <t xml:space="preserve">Q115</t>
  </si>
  <si>
    <t xml:space="preserve">물체의 무게</t>
  </si>
  <si>
    <t xml:space="preserve">용수철저울 무게 재기</t>
  </si>
  <si>
    <t xml:space="preserve">Q116</t>
  </si>
  <si>
    <t xml:space="preserve">수평 잡기</t>
  </si>
  <si>
    <t xml:space="preserve">시소는 어떻게 수평을 잡을까</t>
  </si>
  <si>
    <t xml:space="preserve">Q117</t>
  </si>
  <si>
    <t xml:space="preserve">혼합물의 분리</t>
  </si>
  <si>
    <t xml:space="preserve">거름 장치로 혼합물 분리하는 실험</t>
  </si>
  <si>
    <t xml:space="preserve">Q118</t>
  </si>
  <si>
    <t xml:space="preserve">바닷물에서 소금은 어떻게 얻을까</t>
  </si>
  <si>
    <t xml:space="preserve">Q119</t>
  </si>
  <si>
    <t xml:space="preserve">화산</t>
  </si>
  <si>
    <t xml:space="preserve">화산 분출물 용암 화산재</t>
  </si>
  <si>
    <t xml:space="preserve">Q120</t>
  </si>
  <si>
    <t xml:space="preserve">지진</t>
  </si>
  <si>
    <t xml:space="preserve">지진이 났을 때 대처 방법과 지진이 생기는 원리를 같이</t>
  </si>
  <si>
    <t xml:space="preserve">Q121</t>
  </si>
  <si>
    <t xml:space="preserve">하나뿐인 지구 화산 섬 제주도</t>
  </si>
  <si>
    <t xml:space="preserve">Q122</t>
  </si>
  <si>
    <t xml:space="preserve">물의 상태 변화</t>
  </si>
  <si>
    <t xml:space="preserve">얼음이 녹으면 무게가 달라질까</t>
  </si>
  <si>
    <t xml:space="preserve">Q123</t>
  </si>
  <si>
    <t xml:space="preserve">증발과 끓음</t>
  </si>
  <si>
    <t xml:space="preserve">증발과 끓음 차이</t>
  </si>
  <si>
    <t xml:space="preserve">Q124</t>
  </si>
  <si>
    <t xml:space="preserve">응결</t>
  </si>
  <si>
    <t xml:space="preserve">컵 표면에 물방울 맺히는 거 설명 영상 짧은 거</t>
  </si>
  <si>
    <t xml:space="preserve">Q125</t>
  </si>
  <si>
    <t xml:space="preserve">그림자</t>
  </si>
  <si>
    <t xml:space="preserve">그림자는 왜 생길까</t>
  </si>
  <si>
    <t xml:space="preserve">Q126</t>
  </si>
  <si>
    <t xml:space="preserve">거울</t>
  </si>
  <si>
    <t xml:space="preserve">거울에 비친 모습 실험 영상</t>
  </si>
  <si>
    <t xml:space="preserve">Q127</t>
  </si>
  <si>
    <t xml:space="preserve">식물의 생활</t>
  </si>
  <si>
    <t xml:space="preserve">물에 사는 식물 사막에 사는 식물</t>
  </si>
  <si>
    <t xml:space="preserve">Q128</t>
  </si>
  <si>
    <t xml:space="preserve">식물의 적응</t>
  </si>
  <si>
    <t xml:space="preserve">선인장은 어떻게 사막에서 살아남을까</t>
  </si>
  <si>
    <t xml:space="preserve">Q129</t>
  </si>
  <si>
    <t xml:space="preserve">물의 순환</t>
  </si>
  <si>
    <t xml:space="preserve">물의 순환 애니메이션</t>
  </si>
  <si>
    <t xml:space="preserve">Q130</t>
  </si>
  <si>
    <t xml:space="preserve">물 부족</t>
  </si>
  <si>
    <t xml:space="preserve">물부족해결방법 어린이</t>
  </si>
  <si>
    <t xml:space="preserve">Q131</t>
  </si>
  <si>
    <t xml:space="preserve">동물의 위장</t>
  </si>
  <si>
    <t xml:space="preserve">애들이 좋아할 만한 동물 위장 영상</t>
  </si>
  <si>
    <t xml:space="preserve">Q132</t>
  </si>
  <si>
    <t xml:space="preserve">동물의 적응</t>
  </si>
  <si>
    <r>
      <rPr>
        <sz val="10"/>
        <rFont val="Noto Sans CJK SC"/>
        <family val="2"/>
      </rPr>
      <t xml:space="preserve">북극곰 적응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다큐 전체 말고 몇 분짜리 클립만</t>
    </r>
  </si>
  <si>
    <t xml:space="preserve">Q133</t>
  </si>
  <si>
    <t xml:space="preserve">곤충의 한살이</t>
  </si>
  <si>
    <t xml:space="preserve">곤충의 한살이 완전 탈바꿈</t>
  </si>
  <si>
    <t xml:space="preserve">Q134</t>
  </si>
  <si>
    <t xml:space="preserve">멸종 위기 동물</t>
  </si>
  <si>
    <t xml:space="preserve">멸종 위기 동물 보호를 사회 문제로도 연결할 수 있는 다큐</t>
  </si>
  <si>
    <t xml:space="preserve">Q135</t>
  </si>
  <si>
    <t xml:space="preserve">공기의 성질</t>
  </si>
  <si>
    <t xml:space="preserve">공기는 무게가 있을까</t>
  </si>
  <si>
    <t xml:space="preserve">Q136</t>
  </si>
  <si>
    <t xml:space="preserve">온도</t>
  </si>
  <si>
    <t xml:space="preserve">온도계 사용법</t>
  </si>
  <si>
    <t xml:space="preserve">Q137</t>
  </si>
  <si>
    <t xml:space="preserve">열의 이동</t>
  </si>
  <si>
    <t xml:space="preserve">뜨거운 국에 담근 숟가락은 왜 손잡이까지 뜨거워질까</t>
  </si>
  <si>
    <t xml:space="preserve">Q138</t>
  </si>
  <si>
    <t xml:space="preserve">대류</t>
  </si>
  <si>
    <t xml:space="preserve">대류 실험 물감 영상</t>
  </si>
  <si>
    <t xml:space="preserve">Q139</t>
  </si>
  <si>
    <t xml:space="preserve">태양계</t>
  </si>
  <si>
    <t xml:space="preserve">태양계 행성 크기 비교</t>
  </si>
  <si>
    <t xml:space="preserve">Q140</t>
  </si>
  <si>
    <t xml:space="preserve">별자리</t>
  </si>
  <si>
    <t xml:space="preserve">북극성은 어떻게 찾나요</t>
  </si>
  <si>
    <t xml:space="preserve">Q141</t>
  </si>
  <si>
    <t xml:space="preserve">용해와 용액</t>
  </si>
  <si>
    <t xml:space="preserve">용해와 용액 용질 용매</t>
  </si>
  <si>
    <t xml:space="preserve">Q142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</si>
  <si>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용해와 용액 단원 도입용 각설탕 녹는 영상</t>
    </r>
  </si>
  <si>
    <t xml:space="preserve">Q143</t>
  </si>
  <si>
    <t xml:space="preserve">용액의 진하기</t>
  </si>
  <si>
    <t xml:space="preserve">메추리알이 소금물에서 뜨는 이유</t>
  </si>
  <si>
    <t xml:space="preserve">Q144</t>
  </si>
  <si>
    <t xml:space="preserve">생태계 구성</t>
  </si>
  <si>
    <t xml:space="preserve">생태계 구성 요소 생산자 소비자 분해자</t>
  </si>
  <si>
    <t xml:space="preserve">Q145</t>
  </si>
  <si>
    <t xml:space="preserve">먹이 관계</t>
  </si>
  <si>
    <t xml:space="preserve">생태계의 다양한 생물 관계를 보여주는 다큐</t>
  </si>
  <si>
    <t xml:space="preserve">Q146</t>
  </si>
  <si>
    <t xml:space="preserve">생태계 평형</t>
  </si>
  <si>
    <t xml:space="preserve">다큐프라임 생태계 평형</t>
  </si>
  <si>
    <t xml:space="preserve">Q147</t>
  </si>
  <si>
    <t xml:space="preserve">환경 오염</t>
  </si>
  <si>
    <t xml:space="preserve">환경 오염이 생물에 주는 영향과 우리가 할 수 있는 실천을 함께</t>
  </si>
  <si>
    <t xml:space="preserve">Q148</t>
  </si>
  <si>
    <t xml:space="preserve">날씨</t>
  </si>
  <si>
    <t xml:space="preserve">습도 이슬 구름 비</t>
  </si>
  <si>
    <t xml:space="preserve">Q149</t>
  </si>
  <si>
    <t xml:space="preserve">구름</t>
  </si>
  <si>
    <t xml:space="preserve">구름 만들기 실험</t>
  </si>
  <si>
    <t xml:space="preserve">Q150</t>
  </si>
  <si>
    <t xml:space="preserve">기압과 바람</t>
  </si>
  <si>
    <t xml:space="preserve">바닷가에서 낮과 밤에 바람 방향이 바뀌는 이유</t>
  </si>
  <si>
    <t xml:space="preserve">Q151</t>
  </si>
  <si>
    <t xml:space="preserve">속력</t>
  </si>
  <si>
    <t xml:space="preserve">물체의 속력 구하기</t>
  </si>
  <si>
    <t xml:space="preserve">Q152</t>
  </si>
  <si>
    <t xml:space="preserve">속력과 안전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</si>
  <si>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속력 단원 교통안전 연결 차시 영상</t>
    </r>
  </si>
  <si>
    <t xml:space="preserve">Q153</t>
  </si>
  <si>
    <t xml:space="preserve">산과 염기</t>
  </si>
  <si>
    <t xml:space="preserve">지시약 색깔 변화 실험 붉은 양배추</t>
  </si>
  <si>
    <t xml:space="preserve">Q154</t>
  </si>
  <si>
    <t xml:space="preserve">생활 속에서 산성과 염기성 용액은 어디에 쓰이나요</t>
  </si>
  <si>
    <t xml:space="preserve">Q155</t>
  </si>
  <si>
    <t xml:space="preserve">지구의 자전</t>
  </si>
  <si>
    <t xml:space="preserve">낮과 밤이 생기는 이유 지구 자전</t>
  </si>
  <si>
    <t xml:space="preserve">Q156</t>
  </si>
  <si>
    <t xml:space="preserve">달의 위상</t>
  </si>
  <si>
    <t xml:space="preserve">달의 모양은 왜 매일 바뀔까</t>
  </si>
  <si>
    <t xml:space="preserve">Q157</t>
  </si>
  <si>
    <t xml:space="preserve">여러 가지 기체</t>
  </si>
  <si>
    <t xml:space="preserve">산소와 이산화탄소 발생 실험</t>
  </si>
  <si>
    <t xml:space="preserve">Q158</t>
  </si>
  <si>
    <t xml:space="preserve">기체의 압력</t>
  </si>
  <si>
    <t xml:space="preserve">기체 압럭과 부피</t>
  </si>
  <si>
    <t xml:space="preserve">Q159</t>
  </si>
  <si>
    <t xml:space="preserve">식물의 구조</t>
  </si>
  <si>
    <t xml:space="preserve">광합성 잎 줄기 뿌리</t>
  </si>
  <si>
    <t xml:space="preserve">Q160</t>
  </si>
  <si>
    <t xml:space="preserve">광합성</t>
  </si>
  <si>
    <t xml:space="preserve">광합썽 실험 영상</t>
  </si>
  <si>
    <t xml:space="preserve">Q161</t>
  </si>
  <si>
    <t xml:space="preserve">빛의 굴절</t>
  </si>
  <si>
    <t xml:space="preserve">물에 넣은 빨대는 왜 꺾여 보일까</t>
  </si>
  <si>
    <t xml:space="preserve">Q162</t>
  </si>
  <si>
    <t xml:space="preserve">볼록 렌즈</t>
  </si>
  <si>
    <t xml:space="preserve">볼록 렌즈로 햇빛 모으기 실험</t>
  </si>
  <si>
    <t xml:space="preserve">Q163</t>
  </si>
  <si>
    <t xml:space="preserve">전기 회로</t>
  </si>
  <si>
    <t xml:space="preserve">전기 회로 직렬 병렬</t>
  </si>
  <si>
    <t xml:space="preserve">Q164</t>
  </si>
  <si>
    <t xml:space="preserve">전자석</t>
  </si>
  <si>
    <t xml:space="preserve">전자석은 어디에 쓰이나요</t>
  </si>
  <si>
    <t xml:space="preserve">Q165</t>
  </si>
  <si>
    <t xml:space="preserve">전기 안전</t>
  </si>
  <si>
    <t xml:space="preserve">전기 절약이랑 안전 관련해서 아이들 보기 좋은 거</t>
  </si>
  <si>
    <t xml:space="preserve">Q166</t>
  </si>
  <si>
    <t xml:space="preserve">계절의 변화</t>
  </si>
  <si>
    <t xml:space="preserve">여름은 왜 더울까 태양 고도</t>
  </si>
  <si>
    <t xml:space="preserve">Q167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</si>
  <si>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계절의 변화 단원 정리용 애니메이션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분 이내</t>
    </r>
  </si>
  <si>
    <t xml:space="preserve">Q168</t>
  </si>
  <si>
    <t xml:space="preserve">연소와 소화</t>
  </si>
  <si>
    <t xml:space="preserve">연소의 조건 소화 방법</t>
  </si>
  <si>
    <t xml:space="preserve">Q169</t>
  </si>
  <si>
    <t xml:space="preserve">화재 안전</t>
  </si>
  <si>
    <r>
      <rPr>
        <sz val="10"/>
        <rFont val="Noto Sans CJK SC"/>
        <family val="2"/>
      </rPr>
      <t xml:space="preserve">불 끄는 방법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실험 말고 실제 화재 대피 영상</t>
    </r>
  </si>
  <si>
    <t xml:space="preserve">Q170</t>
  </si>
  <si>
    <t xml:space="preserve">우리 몸의 구조</t>
  </si>
  <si>
    <t xml:space="preserve">소화 기관 순환 기관</t>
  </si>
  <si>
    <t xml:space="preserve">Q171</t>
  </si>
  <si>
    <t xml:space="preserve">심장</t>
  </si>
  <si>
    <t xml:space="preserve">심장이 뛰는 모습 애니메이션</t>
  </si>
  <si>
    <t xml:space="preserve">Q172</t>
  </si>
  <si>
    <t xml:space="preserve">호흡</t>
  </si>
  <si>
    <t xml:space="preserve">숨을 쉬면 몸속에서 무슨 일이 일어날까</t>
  </si>
  <si>
    <t xml:space="preserve">Q173</t>
  </si>
  <si>
    <t xml:space="preserve">에너지 전환</t>
  </si>
  <si>
    <t xml:space="preserve">에너지 전환 예시</t>
  </si>
  <si>
    <t xml:space="preserve">Q174</t>
  </si>
  <si>
    <t xml:space="preserve">신재생 에너지</t>
  </si>
  <si>
    <t xml:space="preserve">신재생 에너지를 과학 원리와 에너지 정책 측면에서 함께</t>
  </si>
  <si>
    <t xml:space="preserve">Q175</t>
  </si>
  <si>
    <t xml:space="preserve">미생물</t>
  </si>
  <si>
    <t xml:space="preserve">곰팡이와 세균은 우리에게 이로울까 해로울까</t>
  </si>
  <si>
    <t xml:space="preserve">Q176</t>
  </si>
  <si>
    <t xml:space="preserve">첨단 과학 기술</t>
  </si>
  <si>
    <r>
      <rPr>
        <sz val="10"/>
        <rFont val="Noto Sans CJK SC"/>
        <family val="2"/>
      </rPr>
      <t xml:space="preserve">로봇이나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같은 과학 기술 미래 직업 관련된 거</t>
    </r>
  </si>
  <si>
    <t xml:space="preserve">Q177</t>
  </si>
  <si>
    <t xml:space="preserve">우주</t>
  </si>
  <si>
    <r>
      <rPr>
        <sz val="10"/>
        <rFont val="Noto Sans CJK SC"/>
        <family val="2"/>
      </rPr>
      <t xml:space="preserve">지식채널</t>
    </r>
    <r>
      <rPr>
        <sz val="10"/>
        <rFont val="맑은 고딕"/>
        <family val="0"/>
        <charset val="1"/>
      </rPr>
      <t xml:space="preserve">e </t>
    </r>
    <r>
      <rPr>
        <sz val="10"/>
        <rFont val="Noto Sans CJK SC"/>
        <family val="2"/>
      </rPr>
      <t xml:space="preserve">우주 관련 편</t>
    </r>
  </si>
  <si>
    <t xml:space="preserve">Q178</t>
  </si>
  <si>
    <t xml:space="preserve">미세먼지</t>
  </si>
  <si>
    <t xml:space="preserve">미세먼지가 생기는 원리와 건강 영향 사회 문제까지</t>
  </si>
  <si>
    <t xml:space="preserve">Q179</t>
  </si>
  <si>
    <t xml:space="preserve">실험 안전</t>
  </si>
  <si>
    <t xml:space="preserve">과학 실험실 안전 수칙</t>
  </si>
  <si>
    <t xml:space="preserve">Q180</t>
  </si>
  <si>
    <t xml:space="preserve">탐구 과정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</si>
  <si>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첫 시간 과학 탐구 방법 소개 영상</t>
    </r>
  </si>
  <si>
    <t xml:space="preserve">Q181</t>
  </si>
  <si>
    <t xml:space="preserve">생물의 분류</t>
  </si>
  <si>
    <t xml:space="preserve">생물 분류 체계 종 속 과 목 강 문 계</t>
  </si>
  <si>
    <t xml:space="preserve">Q182</t>
  </si>
  <si>
    <t xml:space="preserve">세포</t>
  </si>
  <si>
    <t xml:space="preserve">현미경으로 본 양파 표피 세포</t>
  </si>
  <si>
    <t xml:space="preserve">Q183</t>
  </si>
  <si>
    <t xml:space="preserve">변이</t>
  </si>
  <si>
    <t xml:space="preserve">같은 종인데 왜 생김새가 다를까</t>
  </si>
  <si>
    <t xml:space="preserve">Q184</t>
  </si>
  <si>
    <t xml:space="preserve">열</t>
  </si>
  <si>
    <t xml:space="preserve">열평형 비열 열팽창</t>
  </si>
  <si>
    <t xml:space="preserve">Q185</t>
  </si>
  <si>
    <t xml:space="preserve">비열</t>
  </si>
  <si>
    <t xml:space="preserve">여름 바닷가 모래는 뜨거운데 바닷물은 왜 덜 뜨거울까</t>
  </si>
  <si>
    <t xml:space="preserve">Q186</t>
  </si>
  <si>
    <t xml:space="preserve">열팽창</t>
  </si>
  <si>
    <t xml:space="preserve">기찻길 레일 틈 열팽창 실제 영상</t>
  </si>
  <si>
    <t xml:space="preserve">Q187</t>
  </si>
  <si>
    <t xml:space="preserve">물질의 상태 변화</t>
  </si>
  <si>
    <t xml:space="preserve">입자 운동 상태 변화 잠열</t>
  </si>
  <si>
    <t xml:space="preserve">Q188</t>
  </si>
  <si>
    <t xml:space="preserve">상태 변화와 열</t>
  </si>
  <si>
    <t xml:space="preserve">융해렬 응고열 예시</t>
  </si>
  <si>
    <t xml:space="preserve">Q189</t>
  </si>
  <si>
    <t xml:space="preserve">기체의 성질</t>
  </si>
  <si>
    <t xml:space="preserve">높은 산에 가면 과자 봉지가 왜 부풀까</t>
  </si>
  <si>
    <t xml:space="preserve">Q190</t>
  </si>
  <si>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기체의 성질 보일 법칙 개념 정리 강의</t>
    </r>
  </si>
  <si>
    <t xml:space="preserve">Q191</t>
  </si>
  <si>
    <t xml:space="preserve">여러 가지 힘</t>
  </si>
  <si>
    <t xml:space="preserve">중력 탄성력 마찰력 부력</t>
  </si>
  <si>
    <t xml:space="preserve">Q192</t>
  </si>
  <si>
    <t xml:space="preserve">마찰력</t>
  </si>
  <si>
    <t xml:space="preserve">마찰력 체감되는 재밌는 실험 영상 없을까요</t>
  </si>
  <si>
    <t xml:space="preserve">Q193</t>
  </si>
  <si>
    <t xml:space="preserve">부력</t>
  </si>
  <si>
    <t xml:space="preserve">무거운 배는 어떻게 물에 뜰까</t>
  </si>
  <si>
    <t xml:space="preserve">Q194</t>
  </si>
  <si>
    <t xml:space="preserve">빛의 합성</t>
  </si>
  <si>
    <t xml:space="preserve">빛의 합성 무대 조명 실험</t>
  </si>
  <si>
    <t xml:space="preserve">Q195</t>
  </si>
  <si>
    <t xml:space="preserve">파동</t>
  </si>
  <si>
    <t xml:space="preserve">파동 진폭 진동수 파장</t>
  </si>
  <si>
    <t xml:space="preserve">Q196</t>
  </si>
  <si>
    <t xml:space="preserve">다큐프라임 태양계 탐사</t>
  </si>
  <si>
    <t xml:space="preserve">Q197</t>
  </si>
  <si>
    <t xml:space="preserve">암석의 순환</t>
  </si>
  <si>
    <t xml:space="preserve">암석은 어떻게 순환할까</t>
  </si>
  <si>
    <t xml:space="preserve">Q198</t>
  </si>
  <si>
    <t xml:space="preserve">광물</t>
  </si>
  <si>
    <t xml:space="preserve">광물 구별 방법 강의 말고 실험 위주로</t>
  </si>
  <si>
    <t xml:space="preserve">Q199</t>
  </si>
  <si>
    <t xml:space="preserve">과학과 지속가능한 삶</t>
  </si>
  <si>
    <t xml:space="preserve">과학 기술이 인류의 지속 가능한 삶에 기여한 사례와 문제점</t>
  </si>
  <si>
    <t xml:space="preserve">Q200</t>
  </si>
  <si>
    <t xml:space="preserve">판 구조</t>
  </si>
  <si>
    <t xml:space="preserve">판의 이동으로 지진대 화산대 분포를 지도와 함께</t>
  </si>
  <si>
    <t xml:space="preserve">설명</t>
  </si>
  <si>
    <t xml:space="preserve">확인할 점</t>
  </si>
  <si>
    <t xml:space="preserve">예시</t>
  </si>
  <si>
    <t xml:space="preserve">주제어만 나열한 짧은 검색어</t>
  </si>
  <si>
    <r>
      <rPr>
        <sz val="10"/>
        <rFont val="Noto Sans CJK SC"/>
        <family val="2"/>
      </rPr>
      <t xml:space="preserve">핵심 개념이 제목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설명에 들어간 자료를 상위에 올리는가</t>
    </r>
  </si>
  <si>
    <t xml:space="preserve">학생이나 교사가 묻는 형태의 문장</t>
  </si>
  <si>
    <r>
      <rPr>
        <sz val="10"/>
        <rFont val="Noto Sans CJK SC"/>
        <family val="2"/>
      </rPr>
      <t xml:space="preserve">질문의 답이 되는 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담은 자료를 찾는가</t>
    </r>
  </si>
  <si>
    <r>
      <rPr>
        <sz val="10"/>
        <rFont val="Noto Sans CJK SC"/>
        <family val="2"/>
      </rPr>
      <t xml:space="preserve">학년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차시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길이 등 수업 맥락을 포함</t>
    </r>
  </si>
  <si>
    <r>
      <rPr>
        <sz val="10"/>
        <rFont val="Noto Sans CJK SC"/>
        <family val="2"/>
      </rPr>
      <t xml:space="preserve">학년 수준과 길이 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5</t>
    </r>
    <r>
      <rPr>
        <sz val="10"/>
        <rFont val="Noto Sans CJK SC"/>
        <family val="2"/>
      </rPr>
      <t xml:space="preserve">분 이내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반영하는가</t>
    </r>
  </si>
  <si>
    <r>
      <rPr>
        <sz val="10"/>
        <rFont val="Noto Sans CJK SC"/>
        <family val="2"/>
      </rPr>
      <t xml:space="preserve">애니메이션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인터뷰 등 형식을 지정</t>
    </r>
  </si>
  <si>
    <t xml:space="preserve">요청한 형식의 자료를 우선하는가</t>
  </si>
  <si>
    <t xml:space="preserve">말하듯 쓴 모호한 요청</t>
  </si>
  <si>
    <r>
      <rPr>
        <sz val="10"/>
        <rFont val="Noto Sans CJK SC"/>
        <family val="2"/>
      </rPr>
      <t xml:space="preserve">의도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대상 학년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흥미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해석해 적절한 자료를 찾는가</t>
    </r>
  </si>
  <si>
    <t xml:space="preserve">오타나 띄어쓰기 없는 입력</t>
  </si>
  <si>
    <t xml:space="preserve">오타를 교정하거나 붙여 쓴 말을 분리해 찾는가</t>
  </si>
  <si>
    <r>
      <rPr>
        <sz val="10"/>
        <rFont val="Noto Sans CJK SC"/>
        <family val="2"/>
      </rPr>
      <t xml:space="preserve">두 개 이상의 개념이나 사회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과학 융합 조건</t>
    </r>
  </si>
  <si>
    <t xml:space="preserve">조건을 모두 만족하는 자료를 상위에 두는가</t>
  </si>
  <si>
    <t xml:space="preserve">지진 대처 방법과 지진이 생기는 원리를 같이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</si>
  <si>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강의 말고</t>
    </r>
    <r>
      <rPr>
        <sz val="10"/>
        <rFont val="맑은 고딕"/>
        <family val="0"/>
        <charset val="1"/>
      </rPr>
      <t xml:space="preserve">", "</t>
    </r>
    <r>
      <rPr>
        <sz val="10"/>
        <rFont val="Noto Sans CJK SC"/>
        <family val="2"/>
      </rPr>
      <t xml:space="preserve">다큐 전체 말고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같은 제외 표현</t>
    </r>
  </si>
  <si>
    <t xml:space="preserve">제외한 유형이 결과에서 빠지거나 뒤로 가는가</t>
  </si>
  <si>
    <r>
      <rPr>
        <sz val="10"/>
        <rFont val="맑은 고딕"/>
        <family val="0"/>
        <charset val="1"/>
      </rPr>
      <t xml:space="preserve">EBS </t>
    </r>
    <r>
      <rPr>
        <sz val="10"/>
        <rFont val="Noto Sans CJK SC"/>
        <family val="2"/>
      </rPr>
      <t xml:space="preserve">프로그램명을 함께 입력</t>
    </r>
  </si>
  <si>
    <t xml:space="preserve">해당 프로그램의 자료를 우선하는가</t>
  </si>
  <si>
    <t xml:space="preserve">입력 방법</t>
  </si>
  <si>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적합 수</t>
    </r>
  </si>
  <si>
    <r>
      <rPr>
        <sz val="10"/>
        <rFont val="Noto Sans CJK SC"/>
        <family val="2"/>
      </rPr>
      <t xml:space="preserve">검색 결과 상위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수업에 쓸 만한 자료 개수</t>
    </r>
    <r>
      <rPr>
        <sz val="10"/>
        <rFont val="맑은 고딕"/>
        <family val="0"/>
        <charset val="1"/>
      </rPr>
      <t xml:space="preserve">(0–5 </t>
    </r>
    <r>
      <rPr>
        <sz val="10"/>
        <rFont val="Noto Sans CJK SC"/>
        <family val="2"/>
      </rPr>
      <t xml:space="preserve">정수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</si>
  <si>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</si>
  <si>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순위 적합 </t>
    </r>
    <r>
      <rPr>
        <sz val="10"/>
        <rFont val="맑은 고딕"/>
        <family val="0"/>
        <charset val="1"/>
      </rPr>
      <t xml:space="preserve">(Y/N)</t>
    </r>
  </si>
  <si>
    <r>
      <rPr>
        <sz val="10"/>
        <rFont val="Noto Sans CJK SC"/>
        <family val="2"/>
      </rPr>
      <t xml:space="preserve">첫 번째 결과가 적합하면 </t>
    </r>
    <r>
      <rPr>
        <sz val="10"/>
        <rFont val="맑은 고딕"/>
        <family val="0"/>
        <charset val="1"/>
      </rPr>
      <t xml:space="preserve">Y, </t>
    </r>
    <r>
      <rPr>
        <sz val="10"/>
        <rFont val="Noto Sans CJK SC"/>
        <family val="2"/>
      </rPr>
      <t xml:space="preserve">아니면 </t>
    </r>
    <r>
      <rPr>
        <sz val="10"/>
        <rFont val="맑은 고딕"/>
        <family val="0"/>
        <charset val="1"/>
      </rPr>
      <t xml:space="preserve">N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</si>
  <si>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Y</t>
    </r>
  </si>
  <si>
    <r>
      <rPr>
        <sz val="10"/>
        <rFont val="Noto Sans CJK SC"/>
        <family val="2"/>
      </rPr>
      <t xml:space="preserve">틀린 결과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누락된 자료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개선 아이디어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</si>
  <si>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3</t>
    </r>
    <r>
      <rPr>
        <sz val="10"/>
        <rFont val="Noto Sans CJK SC"/>
        <family val="2"/>
      </rPr>
      <t xml:space="preserve">위에 고등 강의가 섞임</t>
    </r>
  </si>
  <si>
    <r>
      <rPr>
        <sz val="10"/>
        <rFont val="Noto Sans CJK SC"/>
        <family val="2"/>
      </rPr>
      <t xml:space="preserve">기대 자료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</si>
  <si>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작성자가 예상한 주 자료 유형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정답이 아니라 참고값입니다</t>
    </r>
    <r>
      <rPr>
        <sz val="1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</si>
</sst>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맑은 고딕"/>
      <family val="0"/>
      <charset val="1"/>
    </font>
    <font>
      <b val="true"/>
      <sz val="13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5" t="n">
        <f aca="false">COUNTIFS('검색 문장'!$B$2:$B$201,A5,'검색 문장'!$C$2:$C$201,B5)</f>
        <v>30</v>
      </c>
      <c r="D5" s="5" t="n">
        <f aca="false">COUNTIFS('검색 문장'!$B$2:$B$201,A5,'검색 문장'!$C$2:$C$201,B5,'검색 문장'!$H$2:$H$201,"&lt;&gt;")</f>
        <v>0</v>
      </c>
      <c r="E5" s="6" t="str">
        <f aca="false">IFERROR(AVERAGEIFS('검색 문장'!$H$2:$H$201,'검색 문장'!$B$2:$B$201,A5,'검색 문장'!$C$2:$C$201,B5),"-")</f>
        <v>-</v>
      </c>
      <c r="F5" s="7" t="str">
        <f aca="false">IFERROR(COUNTIFS('검색 문장'!$B$2:$B$201,A5,'검색 문장'!$C$2:$C$201,B5,'검색 문장'!$I$2:$I$201,"Y")/COUNTIFS('검색 문장'!$B$2:$B$201,A5,'검색 문장'!$C$2:$C$201,B5,'검색 문장'!$I$2:$I$201,"?*"),"-")</f>
        <v>-</v>
      </c>
    </row>
    <row r="6" customFormat="false" ht="15" hidden="false" customHeight="false" outlineLevel="0" collapsed="false">
      <c r="A6" s="5" t="s">
        <v>10</v>
      </c>
      <c r="B6" s="5" t="s">
        <v>9</v>
      </c>
      <c r="C6" s="5" t="n">
        <f aca="false">COUNTIFS('검색 문장'!$B$2:$B$201,A6,'검색 문장'!$C$2:$C$201,B6)</f>
        <v>45</v>
      </c>
      <c r="D6" s="5" t="n">
        <f aca="false">COUNTIFS('검색 문장'!$B$2:$B$201,A6,'검색 문장'!$C$2:$C$201,B6,'검색 문장'!$H$2:$H$201,"&lt;&gt;")</f>
        <v>0</v>
      </c>
      <c r="E6" s="6" t="str">
        <f aca="false">IFERROR(AVERAGEIFS('검색 문장'!$H$2:$H$201,'검색 문장'!$B$2:$B$201,A6,'검색 문장'!$C$2:$C$201,B6),"-")</f>
        <v>-</v>
      </c>
      <c r="F6" s="7" t="str">
        <f aca="false">IFERROR(COUNTIFS('검색 문장'!$B$2:$B$201,A6,'검색 문장'!$C$2:$C$201,B6,'검색 문장'!$I$2:$I$201,"Y")/COUNTIFS('검색 문장'!$B$2:$B$201,A6,'검색 문장'!$C$2:$C$201,B6,'검색 문장'!$I$2:$I$201,"?*"),"-")</f>
        <v>-</v>
      </c>
    </row>
    <row r="7" customFormat="false" ht="15" hidden="false" customHeight="false" outlineLevel="0" collapsed="false">
      <c r="A7" s="5" t="s">
        <v>11</v>
      </c>
      <c r="B7" s="5" t="s">
        <v>9</v>
      </c>
      <c r="C7" s="5" t="n">
        <f aca="false">COUNTIFS('검색 문장'!$B$2:$B$201,A7,'검색 문장'!$C$2:$C$201,B7)</f>
        <v>25</v>
      </c>
      <c r="D7" s="5" t="n">
        <f aca="false">COUNTIFS('검색 문장'!$B$2:$B$201,A7,'검색 문장'!$C$2:$C$201,B7,'검색 문장'!$H$2:$H$201,"&lt;&gt;")</f>
        <v>0</v>
      </c>
      <c r="E7" s="6" t="str">
        <f aca="false">IFERROR(AVERAGEIFS('검색 문장'!$H$2:$H$201,'검색 문장'!$B$2:$B$201,A7,'검색 문장'!$C$2:$C$201,B7),"-")</f>
        <v>-</v>
      </c>
      <c r="F7" s="7" t="str">
        <f aca="false">IFERROR(COUNTIFS('검색 문장'!$B$2:$B$201,A7,'검색 문장'!$C$2:$C$201,B7,'검색 문장'!$I$2:$I$201,"Y")/COUNTIFS('검색 문장'!$B$2:$B$201,A7,'검색 문장'!$C$2:$C$201,B7,'검색 문장'!$I$2:$I$201,"?*"),"-")</f>
        <v>-</v>
      </c>
    </row>
    <row r="8" customFormat="false" ht="15" hidden="false" customHeight="false" outlineLevel="0" collapsed="false">
      <c r="A8" s="5" t="s">
        <v>8</v>
      </c>
      <c r="B8" s="5" t="s">
        <v>12</v>
      </c>
      <c r="C8" s="5" t="n">
        <f aca="false">COUNTIFS('검색 문장'!$B$2:$B$201,A8,'검색 문장'!$C$2:$C$201,B8)</f>
        <v>35</v>
      </c>
      <c r="D8" s="5" t="n">
        <f aca="false">COUNTIFS('검색 문장'!$B$2:$B$201,A8,'검색 문장'!$C$2:$C$201,B8,'검색 문장'!$H$2:$H$201,"&lt;&gt;")</f>
        <v>0</v>
      </c>
      <c r="E8" s="6" t="str">
        <f aca="false">IFERROR(AVERAGEIFS('검색 문장'!$H$2:$H$201,'검색 문장'!$B$2:$B$201,A8,'검색 문장'!$C$2:$C$201,B8),"-")</f>
        <v>-</v>
      </c>
      <c r="F8" s="7" t="str">
        <f aca="false">IFERROR(COUNTIFS('검색 문장'!$B$2:$B$201,A8,'검색 문장'!$C$2:$C$201,B8,'검색 문장'!$I$2:$I$201,"Y")/COUNTIFS('검색 문장'!$B$2:$B$201,A8,'검색 문장'!$C$2:$C$201,B8,'검색 문장'!$I$2:$I$201,"?*"),"-")</f>
        <v>-</v>
      </c>
    </row>
    <row r="9" customFormat="false" ht="15" hidden="false" customHeight="false" outlineLevel="0" collapsed="false">
      <c r="A9" s="5" t="s">
        <v>10</v>
      </c>
      <c r="B9" s="5" t="s">
        <v>12</v>
      </c>
      <c r="C9" s="5" t="n">
        <f aca="false">COUNTIFS('검색 문장'!$B$2:$B$201,A9,'검색 문장'!$C$2:$C$201,B9)</f>
        <v>45</v>
      </c>
      <c r="D9" s="5" t="n">
        <f aca="false">COUNTIFS('검색 문장'!$B$2:$B$201,A9,'검색 문장'!$C$2:$C$201,B9,'검색 문장'!$H$2:$H$201,"&lt;&gt;")</f>
        <v>0</v>
      </c>
      <c r="E9" s="6" t="str">
        <f aca="false">IFERROR(AVERAGEIFS('검색 문장'!$H$2:$H$201,'검색 문장'!$B$2:$B$201,A9,'검색 문장'!$C$2:$C$201,B9),"-")</f>
        <v>-</v>
      </c>
      <c r="F9" s="7" t="str">
        <f aca="false">IFERROR(COUNTIFS('검색 문장'!$B$2:$B$201,A9,'검색 문장'!$C$2:$C$201,B9,'검색 문장'!$I$2:$I$201,"Y")/COUNTIFS('검색 문장'!$B$2:$B$201,A9,'검색 문장'!$C$2:$C$201,B9,'검색 문장'!$I$2:$I$201,"?*"),"-")</f>
        <v>-</v>
      </c>
    </row>
    <row r="10" customFormat="false" ht="15" hidden="false" customHeight="false" outlineLevel="0" collapsed="false">
      <c r="A10" s="5" t="s">
        <v>11</v>
      </c>
      <c r="B10" s="5" t="s">
        <v>12</v>
      </c>
      <c r="C10" s="5" t="n">
        <f aca="false">COUNTIFS('검색 문장'!$B$2:$B$201,A10,'검색 문장'!$C$2:$C$201,B10)</f>
        <v>20</v>
      </c>
      <c r="D10" s="5" t="n">
        <f aca="false">COUNTIFS('검색 문장'!$B$2:$B$201,A10,'검색 문장'!$C$2:$C$201,B10,'검색 문장'!$H$2:$H$201,"&lt;&gt;")</f>
        <v>0</v>
      </c>
      <c r="E10" s="6" t="str">
        <f aca="false">IFERROR(AVERAGEIFS('검색 문장'!$H$2:$H$201,'검색 문장'!$B$2:$B$201,A10,'검색 문장'!$C$2:$C$201,B10),"-")</f>
        <v>-</v>
      </c>
      <c r="F10" s="7" t="str">
        <f aca="false">IFERROR(COUNTIFS('검색 문장'!$B$2:$B$201,A10,'검색 문장'!$C$2:$C$201,B10,'검색 문장'!$I$2:$I$201,"Y")/COUNTIFS('검색 문장'!$B$2:$B$201,A10,'검색 문장'!$C$2:$C$201,B10,'검색 문장'!$I$2:$I$201,"?*"),"-")</f>
        <v>-</v>
      </c>
    </row>
    <row r="11" customFormat="false" ht="15" hidden="false" customHeight="false" outlineLevel="0" collapsed="false">
      <c r="A11" s="8" t="s">
        <v>13</v>
      </c>
      <c r="C11" s="5" t="n">
        <f aca="false">SUM(C5:C10)</f>
        <v>200</v>
      </c>
      <c r="D11" s="5" t="n">
        <f aca="false">SUM(D5:D10)</f>
        <v>0</v>
      </c>
      <c r="E11" s="6" t="str">
        <f aca="false">IFERROR(AVERAGE('검색 문장'!$H$2:$H$201),"-")</f>
        <v>-</v>
      </c>
      <c r="F11" s="7" t="str">
        <f aca="false">IFERROR(COUNTIF('검색 문장'!$I$2:$I$201,"Y")/COUNTIF('검색 문장'!$I$2:$I$201,"?*"),"-")</f>
        <v>-</v>
      </c>
    </row>
    <row r="13" customFormat="false" ht="15" hidden="false" customHeight="false" outlineLevel="0" collapsed="false">
      <c r="A13" s="9" t="s">
        <v>14</v>
      </c>
      <c r="B13" s="9" t="s">
        <v>4</v>
      </c>
      <c r="C13" s="9" t="s">
        <v>5</v>
      </c>
      <c r="D13" s="9" t="s">
        <v>15</v>
      </c>
      <c r="E13" s="10" t="s">
        <v>16</v>
      </c>
    </row>
    <row r="14" customFormat="false" ht="15" hidden="false" customHeight="false" outlineLevel="0" collapsed="false">
      <c r="A14" s="5" t="s">
        <v>17</v>
      </c>
      <c r="B14" s="5" t="n">
        <f aca="false">COUNTIF('검색 문장'!$E$2:$E$201,A14)</f>
        <v>54</v>
      </c>
      <c r="C14" s="5" t="n">
        <f aca="false">COUNTIFS('검색 문장'!$E$2:$E$201,A14,'검색 문장'!$H$2:$H$201,"&lt;&gt;")</f>
        <v>0</v>
      </c>
      <c r="D14" s="6" t="str">
        <f aca="false">IFERROR(AVERAGEIFS('검색 문장'!$H$2:$H$201,'검색 문장'!$E$2:$E$201,A14),"-")</f>
        <v>-</v>
      </c>
      <c r="E14" s="7" t="str">
        <f aca="false">IFERROR(COUNTIFS('검색 문장'!$E$2:$E$201,A14,'검색 문장'!$I$2:$I$201,"Y")/COUNTIFS('검색 문장'!$E$2:$E$201,A14,'검색 문장'!$I$2:$I$201,"?*"),"-")</f>
        <v>-</v>
      </c>
    </row>
    <row r="15" customFormat="false" ht="15" hidden="false" customHeight="false" outlineLevel="0" collapsed="false">
      <c r="A15" s="5" t="s">
        <v>18</v>
      </c>
      <c r="B15" s="5" t="n">
        <f aca="false">COUNTIF('검색 문장'!$E$2:$E$201,A15)</f>
        <v>51</v>
      </c>
      <c r="C15" s="5" t="n">
        <f aca="false">COUNTIFS('검색 문장'!$E$2:$E$201,A15,'검색 문장'!$H$2:$H$201,"&lt;&gt;")</f>
        <v>0</v>
      </c>
      <c r="D15" s="6" t="str">
        <f aca="false">IFERROR(AVERAGEIFS('검색 문장'!$H$2:$H$201,'검색 문장'!$E$2:$E$201,A15),"-")</f>
        <v>-</v>
      </c>
      <c r="E15" s="7" t="str">
        <f aca="false">IFERROR(COUNTIFS('검색 문장'!$E$2:$E$201,A15,'검색 문장'!$I$2:$I$201,"Y")/COUNTIFS('검색 문장'!$E$2:$E$201,A15,'검색 문장'!$I$2:$I$201,"?*"),"-")</f>
        <v>-</v>
      </c>
    </row>
    <row r="16" customFormat="false" ht="15" hidden="false" customHeight="false" outlineLevel="0" collapsed="false">
      <c r="A16" s="5" t="s">
        <v>19</v>
      </c>
      <c r="B16" s="5" t="n">
        <f aca="false">COUNTIF('검색 문장'!$E$2:$E$201,A16)</f>
        <v>16</v>
      </c>
      <c r="C16" s="5" t="n">
        <f aca="false">COUNTIFS('검색 문장'!$E$2:$E$201,A16,'검색 문장'!$H$2:$H$201,"&lt;&gt;")</f>
        <v>0</v>
      </c>
      <c r="D16" s="6" t="str">
        <f aca="false">IFERROR(AVERAGEIFS('검색 문장'!$H$2:$H$201,'검색 문장'!$E$2:$E$201,A16),"-")</f>
        <v>-</v>
      </c>
      <c r="E16" s="7" t="str">
        <f aca="false">IFERROR(COUNTIFS('검색 문장'!$E$2:$E$201,A16,'검색 문장'!$I$2:$I$201,"Y")/COUNTIFS('검색 문장'!$E$2:$E$201,A16,'검색 문장'!$I$2:$I$201,"?*"),"-")</f>
        <v>-</v>
      </c>
    </row>
    <row r="17" customFormat="false" ht="15" hidden="false" customHeight="false" outlineLevel="0" collapsed="false">
      <c r="A17" s="5" t="s">
        <v>20</v>
      </c>
      <c r="B17" s="5" t="n">
        <f aca="false">COUNTIF('검색 문장'!$E$2:$E$201,A17)</f>
        <v>26</v>
      </c>
      <c r="C17" s="5" t="n">
        <f aca="false">COUNTIFS('검색 문장'!$E$2:$E$201,A17,'검색 문장'!$H$2:$H$201,"&lt;&gt;")</f>
        <v>0</v>
      </c>
      <c r="D17" s="6" t="str">
        <f aca="false">IFERROR(AVERAGEIFS('검색 문장'!$H$2:$H$201,'검색 문장'!$E$2:$E$201,A17),"-")</f>
        <v>-</v>
      </c>
      <c r="E17" s="7" t="str">
        <f aca="false">IFERROR(COUNTIFS('검색 문장'!$E$2:$E$201,A17,'검색 문장'!$I$2:$I$201,"Y")/COUNTIFS('검색 문장'!$E$2:$E$201,A17,'검색 문장'!$I$2:$I$201,"?*"),"-")</f>
        <v>-</v>
      </c>
    </row>
    <row r="18" customFormat="false" ht="15" hidden="false" customHeight="false" outlineLevel="0" collapsed="false">
      <c r="A18" s="5" t="s">
        <v>21</v>
      </c>
      <c r="B18" s="5" t="n">
        <f aca="false">COUNTIF('검색 문장'!$E$2:$E$201,A18)</f>
        <v>12</v>
      </c>
      <c r="C18" s="5" t="n">
        <f aca="false">COUNTIFS('검색 문장'!$E$2:$E$201,A18,'검색 문장'!$H$2:$H$201,"&lt;&gt;")</f>
        <v>0</v>
      </c>
      <c r="D18" s="6" t="str">
        <f aca="false">IFERROR(AVERAGEIFS('검색 문장'!$H$2:$H$201,'검색 문장'!$E$2:$E$201,A18),"-")</f>
        <v>-</v>
      </c>
      <c r="E18" s="7" t="str">
        <f aca="false">IFERROR(COUNTIFS('검색 문장'!$E$2:$E$201,A18,'검색 문장'!$I$2:$I$201,"Y")/COUNTIFS('검색 문장'!$E$2:$E$201,A18,'검색 문장'!$I$2:$I$201,"?*"),"-")</f>
        <v>-</v>
      </c>
    </row>
    <row r="19" customFormat="false" ht="15" hidden="false" customHeight="false" outlineLevel="0" collapsed="false">
      <c r="A19" s="5" t="s">
        <v>22</v>
      </c>
      <c r="B19" s="5" t="n">
        <f aca="false">COUNTIF('검색 문장'!$E$2:$E$201,A19)</f>
        <v>10</v>
      </c>
      <c r="C19" s="5" t="n">
        <f aca="false">COUNTIFS('검색 문장'!$E$2:$E$201,A19,'검색 문장'!$H$2:$H$201,"&lt;&gt;")</f>
        <v>0</v>
      </c>
      <c r="D19" s="6" t="str">
        <f aca="false">IFERROR(AVERAGEIFS('검색 문장'!$H$2:$H$201,'검색 문장'!$E$2:$E$201,A19),"-")</f>
        <v>-</v>
      </c>
      <c r="E19" s="7" t="str">
        <f aca="false">IFERROR(COUNTIFS('검색 문장'!$E$2:$E$201,A19,'검색 문장'!$I$2:$I$201,"Y")/COUNTIFS('검색 문장'!$E$2:$E$201,A19,'검색 문장'!$I$2:$I$201,"?*"),"-")</f>
        <v>-</v>
      </c>
    </row>
    <row r="20" customFormat="false" ht="15" hidden="false" customHeight="false" outlineLevel="0" collapsed="false">
      <c r="A20" s="5" t="s">
        <v>23</v>
      </c>
      <c r="B20" s="5" t="n">
        <f aca="false">COUNTIF('검색 문장'!$E$2:$E$201,A20)</f>
        <v>13</v>
      </c>
      <c r="C20" s="5" t="n">
        <f aca="false">COUNTIFS('검색 문장'!$E$2:$E$201,A20,'검색 문장'!$H$2:$H$201,"&lt;&gt;")</f>
        <v>0</v>
      </c>
      <c r="D20" s="6" t="str">
        <f aca="false">IFERROR(AVERAGEIFS('검색 문장'!$H$2:$H$201,'검색 문장'!$E$2:$E$201,A20),"-")</f>
        <v>-</v>
      </c>
      <c r="E20" s="7" t="str">
        <f aca="false">IFERROR(COUNTIFS('검색 문장'!$E$2:$E$201,A20,'검색 문장'!$I$2:$I$201,"Y")/COUNTIFS('검색 문장'!$E$2:$E$201,A20,'검색 문장'!$I$2:$I$201,"?*"),"-")</f>
        <v>-</v>
      </c>
    </row>
    <row r="21" customFormat="false" ht="15" hidden="false" customHeight="false" outlineLevel="0" collapsed="false">
      <c r="A21" s="5" t="s">
        <v>24</v>
      </c>
      <c r="B21" s="5" t="n">
        <f aca="false">COUNTIF('검색 문장'!$E$2:$E$201,A21)</f>
        <v>7</v>
      </c>
      <c r="C21" s="5" t="n">
        <f aca="false">COUNTIFS('검색 문장'!$E$2:$E$201,A21,'검색 문장'!$H$2:$H$201,"&lt;&gt;")</f>
        <v>0</v>
      </c>
      <c r="D21" s="6" t="str">
        <f aca="false">IFERROR(AVERAGEIFS('검색 문장'!$H$2:$H$201,'검색 문장'!$E$2:$E$201,A21),"-")</f>
        <v>-</v>
      </c>
      <c r="E21" s="7" t="str">
        <f aca="false">IFERROR(COUNTIFS('검색 문장'!$E$2:$E$201,A21,'검색 문장'!$I$2:$I$201,"Y")/COUNTIFS('검색 문장'!$E$2:$E$201,A21,'검색 문장'!$I$2:$I$201,"?*"),"-")</f>
        <v>-</v>
      </c>
    </row>
    <row r="22" customFormat="false" ht="15" hidden="false" customHeight="false" outlineLevel="0" collapsed="false">
      <c r="A22" s="5" t="s">
        <v>25</v>
      </c>
      <c r="B22" s="5" t="n">
        <f aca="false">COUNTIF('검색 문장'!$E$2:$E$201,A22)</f>
        <v>11</v>
      </c>
      <c r="C22" s="5" t="n">
        <f aca="false">COUNTIFS('검색 문장'!$E$2:$E$201,A22,'검색 문장'!$H$2:$H$201,"&lt;&gt;")</f>
        <v>0</v>
      </c>
      <c r="D22" s="6" t="str">
        <f aca="false">IFERROR(AVERAGEIFS('검색 문장'!$H$2:$H$201,'검색 문장'!$E$2:$E$201,A22),"-")</f>
        <v>-</v>
      </c>
      <c r="E22" s="7" t="str">
        <f aca="false">IFERROR(COUNTIFS('검색 문장'!$E$2:$E$201,A22,'검색 문장'!$I$2:$I$201,"Y")/COUNTIFS('검색 문장'!$E$2:$E$201,A22,'검색 문장'!$I$2:$I$201,"?*"),"-")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11" t="s">
        <v>26</v>
      </c>
      <c r="B1" s="12" t="s">
        <v>2</v>
      </c>
      <c r="C1" s="12" t="s">
        <v>3</v>
      </c>
      <c r="D1" s="12" t="s">
        <v>27</v>
      </c>
      <c r="E1" s="12" t="s">
        <v>14</v>
      </c>
      <c r="F1" s="12" t="s">
        <v>28</v>
      </c>
      <c r="G1" s="12" t="s">
        <v>29</v>
      </c>
      <c r="H1" s="12" t="s">
        <v>30</v>
      </c>
      <c r="I1" s="11" t="s">
        <v>31</v>
      </c>
      <c r="J1" s="12" t="s">
        <v>32</v>
      </c>
    </row>
    <row r="2" customFormat="false" ht="15" hidden="false" customHeight="false" outlineLevel="0" collapsed="false">
      <c r="A2" s="13" t="s">
        <v>33</v>
      </c>
      <c r="B2" s="14" t="s">
        <v>8</v>
      </c>
      <c r="C2" s="14" t="s">
        <v>9</v>
      </c>
      <c r="D2" s="14" t="s">
        <v>34</v>
      </c>
      <c r="E2" s="14" t="s">
        <v>17</v>
      </c>
      <c r="F2" s="15" t="s">
        <v>35</v>
      </c>
      <c r="G2" s="14" t="s">
        <v>36</v>
      </c>
      <c r="H2" s="16"/>
      <c r="I2" s="16"/>
      <c r="J2" s="16"/>
    </row>
    <row r="3" customFormat="false" ht="15" hidden="false" customHeight="false" outlineLevel="0" collapsed="false">
      <c r="A3" s="13" t="s">
        <v>37</v>
      </c>
      <c r="B3" s="14" t="s">
        <v>8</v>
      </c>
      <c r="C3" s="14" t="s">
        <v>9</v>
      </c>
      <c r="D3" s="14" t="s">
        <v>38</v>
      </c>
      <c r="E3" s="14" t="s">
        <v>18</v>
      </c>
      <c r="F3" s="15" t="s">
        <v>39</v>
      </c>
      <c r="G3" s="14" t="s">
        <v>40</v>
      </c>
      <c r="H3" s="16"/>
      <c r="I3" s="16"/>
      <c r="J3" s="16"/>
    </row>
    <row r="4" customFormat="false" ht="15" hidden="false" customHeight="false" outlineLevel="0" collapsed="false">
      <c r="A4" s="13" t="s">
        <v>41</v>
      </c>
      <c r="B4" s="14" t="s">
        <v>8</v>
      </c>
      <c r="C4" s="14" t="s">
        <v>9</v>
      </c>
      <c r="D4" s="14" t="s">
        <v>38</v>
      </c>
      <c r="E4" s="14" t="s">
        <v>19</v>
      </c>
      <c r="F4" s="15" t="s">
        <v>42</v>
      </c>
      <c r="G4" s="14" t="s">
        <v>40</v>
      </c>
      <c r="H4" s="16"/>
      <c r="I4" s="16"/>
      <c r="J4" s="16"/>
    </row>
    <row r="5" customFormat="false" ht="15" hidden="false" customHeight="false" outlineLevel="0" collapsed="false">
      <c r="A5" s="13" t="s">
        <v>43</v>
      </c>
      <c r="B5" s="14" t="s">
        <v>8</v>
      </c>
      <c r="C5" s="14" t="s">
        <v>9</v>
      </c>
      <c r="D5" s="14" t="s">
        <v>44</v>
      </c>
      <c r="E5" s="14" t="s">
        <v>20</v>
      </c>
      <c r="F5" s="15" t="s">
        <v>45</v>
      </c>
      <c r="G5" s="14" t="s">
        <v>40</v>
      </c>
      <c r="H5" s="16"/>
      <c r="I5" s="16"/>
      <c r="J5" s="16"/>
    </row>
    <row r="6" customFormat="false" ht="15" hidden="false" customHeight="false" outlineLevel="0" collapsed="false">
      <c r="A6" s="13" t="s">
        <v>46</v>
      </c>
      <c r="B6" s="14" t="s">
        <v>8</v>
      </c>
      <c r="C6" s="14" t="s">
        <v>9</v>
      </c>
      <c r="D6" s="14" t="s">
        <v>47</v>
      </c>
      <c r="E6" s="14" t="s">
        <v>18</v>
      </c>
      <c r="F6" s="15" t="s">
        <v>48</v>
      </c>
      <c r="G6" s="14" t="s">
        <v>49</v>
      </c>
      <c r="H6" s="16"/>
      <c r="I6" s="16"/>
      <c r="J6" s="16"/>
    </row>
    <row r="7" customFormat="false" ht="15" hidden="false" customHeight="false" outlineLevel="0" collapsed="false">
      <c r="A7" s="13" t="s">
        <v>50</v>
      </c>
      <c r="B7" s="14" t="s">
        <v>8</v>
      </c>
      <c r="C7" s="14" t="s">
        <v>9</v>
      </c>
      <c r="D7" s="14" t="s">
        <v>51</v>
      </c>
      <c r="E7" s="14" t="s">
        <v>17</v>
      </c>
      <c r="F7" s="15" t="s">
        <v>52</v>
      </c>
      <c r="G7" s="14" t="s">
        <v>40</v>
      </c>
      <c r="H7" s="16"/>
      <c r="I7" s="16"/>
      <c r="J7" s="16"/>
    </row>
    <row r="8" customFormat="false" ht="15" hidden="false" customHeight="false" outlineLevel="0" collapsed="false">
      <c r="A8" s="13" t="s">
        <v>53</v>
      </c>
      <c r="B8" s="14" t="s">
        <v>8</v>
      </c>
      <c r="C8" s="14" t="s">
        <v>9</v>
      </c>
      <c r="D8" s="14" t="s">
        <v>54</v>
      </c>
      <c r="E8" s="14" t="s">
        <v>21</v>
      </c>
      <c r="F8" s="15" t="s">
        <v>55</v>
      </c>
      <c r="G8" s="14" t="s">
        <v>40</v>
      </c>
      <c r="H8" s="16"/>
      <c r="I8" s="16"/>
      <c r="J8" s="16"/>
    </row>
    <row r="9" customFormat="false" ht="15" hidden="false" customHeight="false" outlineLevel="0" collapsed="false">
      <c r="A9" s="13" t="s">
        <v>56</v>
      </c>
      <c r="B9" s="14" t="s">
        <v>8</v>
      </c>
      <c r="C9" s="14" t="s">
        <v>9</v>
      </c>
      <c r="D9" s="14" t="s">
        <v>57</v>
      </c>
      <c r="E9" s="14" t="s">
        <v>17</v>
      </c>
      <c r="F9" s="15" t="s">
        <v>58</v>
      </c>
      <c r="G9" s="14" t="s">
        <v>40</v>
      </c>
      <c r="H9" s="16"/>
      <c r="I9" s="16"/>
      <c r="J9" s="16"/>
    </row>
    <row r="10" customFormat="false" ht="15" hidden="false" customHeight="false" outlineLevel="0" collapsed="false">
      <c r="A10" s="13" t="s">
        <v>59</v>
      </c>
      <c r="B10" s="14" t="s">
        <v>8</v>
      </c>
      <c r="C10" s="14" t="s">
        <v>9</v>
      </c>
      <c r="D10" s="14" t="s">
        <v>60</v>
      </c>
      <c r="E10" s="14" t="s">
        <v>18</v>
      </c>
      <c r="F10" s="15" t="s">
        <v>61</v>
      </c>
      <c r="G10" s="14" t="s">
        <v>40</v>
      </c>
      <c r="H10" s="16"/>
      <c r="I10" s="16"/>
      <c r="J10" s="16"/>
    </row>
    <row r="11" customFormat="false" ht="15" hidden="false" customHeight="false" outlineLevel="0" collapsed="false">
      <c r="A11" s="13" t="s">
        <v>62</v>
      </c>
      <c r="B11" s="14" t="s">
        <v>8</v>
      </c>
      <c r="C11" s="14" t="s">
        <v>9</v>
      </c>
      <c r="D11" s="14" t="s">
        <v>63</v>
      </c>
      <c r="E11" s="14" t="s">
        <v>17</v>
      </c>
      <c r="F11" s="15" t="s">
        <v>64</v>
      </c>
      <c r="G11" s="14" t="s">
        <v>36</v>
      </c>
      <c r="H11" s="16"/>
      <c r="I11" s="16"/>
      <c r="J11" s="16"/>
    </row>
    <row r="12" customFormat="false" ht="15" hidden="false" customHeight="false" outlineLevel="0" collapsed="false">
      <c r="A12" s="13" t="s">
        <v>65</v>
      </c>
      <c r="B12" s="14" t="s">
        <v>8</v>
      </c>
      <c r="C12" s="14" t="s">
        <v>9</v>
      </c>
      <c r="D12" s="14" t="s">
        <v>66</v>
      </c>
      <c r="E12" s="14" t="s">
        <v>19</v>
      </c>
      <c r="F12" s="17" t="s">
        <v>67</v>
      </c>
      <c r="G12" s="14" t="s">
        <v>49</v>
      </c>
      <c r="H12" s="16"/>
      <c r="I12" s="16"/>
      <c r="J12" s="16"/>
    </row>
    <row r="13" customFormat="false" ht="15" hidden="false" customHeight="false" outlineLevel="0" collapsed="false">
      <c r="A13" s="13" t="s">
        <v>68</v>
      </c>
      <c r="B13" s="14" t="s">
        <v>8</v>
      </c>
      <c r="C13" s="14" t="s">
        <v>9</v>
      </c>
      <c r="D13" s="14" t="s">
        <v>69</v>
      </c>
      <c r="E13" s="14" t="s">
        <v>18</v>
      </c>
      <c r="F13" s="15" t="s">
        <v>70</v>
      </c>
      <c r="G13" s="14" t="s">
        <v>40</v>
      </c>
      <c r="H13" s="16"/>
      <c r="I13" s="16"/>
      <c r="J13" s="16"/>
    </row>
    <row r="14" customFormat="false" ht="15" hidden="false" customHeight="false" outlineLevel="0" collapsed="false">
      <c r="A14" s="13" t="s">
        <v>71</v>
      </c>
      <c r="B14" s="14" t="s">
        <v>8</v>
      </c>
      <c r="C14" s="14" t="s">
        <v>9</v>
      </c>
      <c r="D14" s="14" t="s">
        <v>72</v>
      </c>
      <c r="E14" s="14" t="s">
        <v>17</v>
      </c>
      <c r="F14" s="15" t="s">
        <v>73</v>
      </c>
      <c r="G14" s="14" t="s">
        <v>40</v>
      </c>
      <c r="H14" s="16"/>
      <c r="I14" s="16"/>
      <c r="J14" s="16"/>
    </row>
    <row r="15" customFormat="false" ht="15" hidden="false" customHeight="false" outlineLevel="0" collapsed="false">
      <c r="A15" s="13" t="s">
        <v>74</v>
      </c>
      <c r="B15" s="14" t="s">
        <v>8</v>
      </c>
      <c r="C15" s="14" t="s">
        <v>9</v>
      </c>
      <c r="D15" s="14" t="s">
        <v>75</v>
      </c>
      <c r="E15" s="14" t="s">
        <v>20</v>
      </c>
      <c r="F15" s="15" t="s">
        <v>76</v>
      </c>
      <c r="G15" s="14" t="s">
        <v>40</v>
      </c>
      <c r="H15" s="16"/>
      <c r="I15" s="16"/>
      <c r="J15" s="16"/>
    </row>
    <row r="16" customFormat="false" ht="15" hidden="false" customHeight="false" outlineLevel="0" collapsed="false">
      <c r="A16" s="13" t="s">
        <v>77</v>
      </c>
      <c r="B16" s="14" t="s">
        <v>8</v>
      </c>
      <c r="C16" s="14" t="s">
        <v>9</v>
      </c>
      <c r="D16" s="14" t="s">
        <v>78</v>
      </c>
      <c r="E16" s="14" t="s">
        <v>22</v>
      </c>
      <c r="F16" s="15" t="s">
        <v>79</v>
      </c>
      <c r="G16" s="14" t="s">
        <v>40</v>
      </c>
      <c r="H16" s="16"/>
      <c r="I16" s="16"/>
      <c r="J16" s="16"/>
    </row>
    <row r="17" customFormat="false" ht="15" hidden="false" customHeight="false" outlineLevel="0" collapsed="false">
      <c r="A17" s="13" t="s">
        <v>80</v>
      </c>
      <c r="B17" s="14" t="s">
        <v>8</v>
      </c>
      <c r="C17" s="14" t="s">
        <v>9</v>
      </c>
      <c r="D17" s="14" t="s">
        <v>81</v>
      </c>
      <c r="E17" s="14" t="s">
        <v>18</v>
      </c>
      <c r="F17" s="15" t="s">
        <v>82</v>
      </c>
      <c r="G17" s="14" t="s">
        <v>49</v>
      </c>
      <c r="H17" s="16"/>
      <c r="I17" s="16"/>
      <c r="J17" s="16"/>
    </row>
    <row r="18" customFormat="false" ht="15" hidden="false" customHeight="false" outlineLevel="0" collapsed="false">
      <c r="A18" s="13" t="s">
        <v>83</v>
      </c>
      <c r="B18" s="14" t="s">
        <v>8</v>
      </c>
      <c r="C18" s="14" t="s">
        <v>9</v>
      </c>
      <c r="D18" s="14" t="s">
        <v>84</v>
      </c>
      <c r="E18" s="14" t="s">
        <v>17</v>
      </c>
      <c r="F18" s="15" t="s">
        <v>85</v>
      </c>
      <c r="G18" s="14" t="s">
        <v>40</v>
      </c>
      <c r="H18" s="16"/>
      <c r="I18" s="16"/>
      <c r="J18" s="16"/>
    </row>
    <row r="19" customFormat="false" ht="15" hidden="false" customHeight="false" outlineLevel="0" collapsed="false">
      <c r="A19" s="13" t="s">
        <v>86</v>
      </c>
      <c r="B19" s="14" t="s">
        <v>8</v>
      </c>
      <c r="C19" s="14" t="s">
        <v>9</v>
      </c>
      <c r="D19" s="14" t="s">
        <v>87</v>
      </c>
      <c r="E19" s="14" t="s">
        <v>18</v>
      </c>
      <c r="F19" s="15" t="s">
        <v>88</v>
      </c>
      <c r="G19" s="14" t="s">
        <v>40</v>
      </c>
      <c r="H19" s="16"/>
      <c r="I19" s="16"/>
      <c r="J19" s="16"/>
    </row>
    <row r="20" customFormat="false" ht="15" hidden="false" customHeight="false" outlineLevel="0" collapsed="false">
      <c r="A20" s="13" t="s">
        <v>89</v>
      </c>
      <c r="B20" s="14" t="s">
        <v>8</v>
      </c>
      <c r="C20" s="14" t="s">
        <v>9</v>
      </c>
      <c r="D20" s="14" t="s">
        <v>90</v>
      </c>
      <c r="E20" s="14" t="s">
        <v>19</v>
      </c>
      <c r="F20" s="15" t="s">
        <v>91</v>
      </c>
      <c r="G20" s="14" t="s">
        <v>40</v>
      </c>
      <c r="H20" s="16"/>
      <c r="I20" s="16"/>
      <c r="J20" s="16"/>
    </row>
    <row r="21" customFormat="false" ht="15" hidden="false" customHeight="false" outlineLevel="0" collapsed="false">
      <c r="A21" s="13" t="s">
        <v>92</v>
      </c>
      <c r="B21" s="14" t="s">
        <v>8</v>
      </c>
      <c r="C21" s="14" t="s">
        <v>9</v>
      </c>
      <c r="D21" s="14" t="s">
        <v>93</v>
      </c>
      <c r="E21" s="14" t="s">
        <v>18</v>
      </c>
      <c r="F21" s="15" t="s">
        <v>94</v>
      </c>
      <c r="G21" s="14" t="s">
        <v>49</v>
      </c>
      <c r="H21" s="16"/>
      <c r="I21" s="16"/>
      <c r="J21" s="16"/>
    </row>
    <row r="22" customFormat="false" ht="15" hidden="false" customHeight="false" outlineLevel="0" collapsed="false">
      <c r="A22" s="13" t="s">
        <v>95</v>
      </c>
      <c r="B22" s="14" t="s">
        <v>8</v>
      </c>
      <c r="C22" s="14" t="s">
        <v>9</v>
      </c>
      <c r="D22" s="14" t="s">
        <v>96</v>
      </c>
      <c r="E22" s="14" t="s">
        <v>17</v>
      </c>
      <c r="F22" s="15" t="s">
        <v>97</v>
      </c>
      <c r="G22" s="14" t="s">
        <v>49</v>
      </c>
      <c r="H22" s="16"/>
      <c r="I22" s="16"/>
      <c r="J22" s="16"/>
    </row>
    <row r="23" customFormat="false" ht="15" hidden="false" customHeight="false" outlineLevel="0" collapsed="false">
      <c r="A23" s="13" t="s">
        <v>98</v>
      </c>
      <c r="B23" s="14" t="s">
        <v>8</v>
      </c>
      <c r="C23" s="14" t="s">
        <v>9</v>
      </c>
      <c r="D23" s="14" t="s">
        <v>99</v>
      </c>
      <c r="E23" s="14" t="s">
        <v>21</v>
      </c>
      <c r="F23" s="15" t="s">
        <v>100</v>
      </c>
      <c r="G23" s="14" t="s">
        <v>40</v>
      </c>
      <c r="H23" s="16"/>
      <c r="I23" s="16"/>
      <c r="J23" s="16"/>
    </row>
    <row r="24" customFormat="false" ht="15" hidden="false" customHeight="false" outlineLevel="0" collapsed="false">
      <c r="A24" s="13" t="s">
        <v>101</v>
      </c>
      <c r="B24" s="14" t="s">
        <v>8</v>
      </c>
      <c r="C24" s="14" t="s">
        <v>9</v>
      </c>
      <c r="D24" s="14" t="s">
        <v>102</v>
      </c>
      <c r="E24" s="14" t="s">
        <v>17</v>
      </c>
      <c r="F24" s="15" t="s">
        <v>103</v>
      </c>
      <c r="G24" s="14" t="s">
        <v>40</v>
      </c>
      <c r="H24" s="16"/>
      <c r="I24" s="16"/>
      <c r="J24" s="16"/>
    </row>
    <row r="25" customFormat="false" ht="15" hidden="false" customHeight="false" outlineLevel="0" collapsed="false">
      <c r="A25" s="13" t="s">
        <v>104</v>
      </c>
      <c r="B25" s="14" t="s">
        <v>8</v>
      </c>
      <c r="C25" s="14" t="s">
        <v>9</v>
      </c>
      <c r="D25" s="14" t="s">
        <v>105</v>
      </c>
      <c r="E25" s="14" t="s">
        <v>24</v>
      </c>
      <c r="F25" s="15" t="s">
        <v>106</v>
      </c>
      <c r="G25" s="14" t="s">
        <v>40</v>
      </c>
      <c r="H25" s="16"/>
      <c r="I25" s="16"/>
      <c r="J25" s="16"/>
    </row>
    <row r="26" customFormat="false" ht="15" hidden="false" customHeight="false" outlineLevel="0" collapsed="false">
      <c r="A26" s="13" t="s">
        <v>107</v>
      </c>
      <c r="B26" s="14" t="s">
        <v>8</v>
      </c>
      <c r="C26" s="14" t="s">
        <v>9</v>
      </c>
      <c r="D26" s="14" t="s">
        <v>108</v>
      </c>
      <c r="E26" s="14" t="s">
        <v>18</v>
      </c>
      <c r="F26" s="15" t="s">
        <v>109</v>
      </c>
      <c r="G26" s="14" t="s">
        <v>40</v>
      </c>
      <c r="H26" s="16"/>
      <c r="I26" s="16"/>
      <c r="J26" s="16"/>
    </row>
    <row r="27" customFormat="false" ht="15" hidden="false" customHeight="false" outlineLevel="0" collapsed="false">
      <c r="A27" s="13" t="s">
        <v>110</v>
      </c>
      <c r="B27" s="14" t="s">
        <v>8</v>
      </c>
      <c r="C27" s="14" t="s">
        <v>9</v>
      </c>
      <c r="D27" s="14" t="s">
        <v>111</v>
      </c>
      <c r="E27" s="14" t="s">
        <v>20</v>
      </c>
      <c r="F27" s="15" t="s">
        <v>112</v>
      </c>
      <c r="G27" s="14" t="s">
        <v>40</v>
      </c>
      <c r="H27" s="16"/>
      <c r="I27" s="16"/>
      <c r="J27" s="16"/>
    </row>
    <row r="28" customFormat="false" ht="15" hidden="false" customHeight="false" outlineLevel="0" collapsed="false">
      <c r="A28" s="13" t="s">
        <v>113</v>
      </c>
      <c r="B28" s="14" t="s">
        <v>8</v>
      </c>
      <c r="C28" s="14" t="s">
        <v>9</v>
      </c>
      <c r="D28" s="14" t="s">
        <v>114</v>
      </c>
      <c r="E28" s="14" t="s">
        <v>25</v>
      </c>
      <c r="F28" s="15" t="s">
        <v>115</v>
      </c>
      <c r="G28" s="14" t="s">
        <v>49</v>
      </c>
      <c r="H28" s="16"/>
      <c r="I28" s="16"/>
      <c r="J28" s="16"/>
    </row>
    <row r="29" customFormat="false" ht="15" hidden="false" customHeight="false" outlineLevel="0" collapsed="false">
      <c r="A29" s="13" t="s">
        <v>116</v>
      </c>
      <c r="B29" s="14" t="s">
        <v>8</v>
      </c>
      <c r="C29" s="14" t="s">
        <v>9</v>
      </c>
      <c r="D29" s="14" t="s">
        <v>117</v>
      </c>
      <c r="E29" s="14" t="s">
        <v>22</v>
      </c>
      <c r="F29" s="15" t="s">
        <v>118</v>
      </c>
      <c r="G29" s="14" t="s">
        <v>40</v>
      </c>
      <c r="H29" s="16"/>
      <c r="I29" s="16"/>
      <c r="J29" s="16"/>
    </row>
    <row r="30" customFormat="false" ht="15" hidden="false" customHeight="false" outlineLevel="0" collapsed="false">
      <c r="A30" s="13" t="s">
        <v>119</v>
      </c>
      <c r="B30" s="14" t="s">
        <v>8</v>
      </c>
      <c r="C30" s="14" t="s">
        <v>9</v>
      </c>
      <c r="D30" s="14" t="s">
        <v>120</v>
      </c>
      <c r="E30" s="14" t="s">
        <v>20</v>
      </c>
      <c r="F30" s="15" t="s">
        <v>121</v>
      </c>
      <c r="G30" s="14" t="s">
        <v>40</v>
      </c>
      <c r="H30" s="16"/>
      <c r="I30" s="16"/>
      <c r="J30" s="16"/>
    </row>
    <row r="31" customFormat="false" ht="15" hidden="false" customHeight="false" outlineLevel="0" collapsed="false">
      <c r="A31" s="13" t="s">
        <v>122</v>
      </c>
      <c r="B31" s="14" t="s">
        <v>8</v>
      </c>
      <c r="C31" s="14" t="s">
        <v>9</v>
      </c>
      <c r="D31" s="14" t="s">
        <v>123</v>
      </c>
      <c r="E31" s="14" t="s">
        <v>23</v>
      </c>
      <c r="F31" s="15" t="s">
        <v>124</v>
      </c>
      <c r="G31" s="14" t="s">
        <v>49</v>
      </c>
      <c r="H31" s="16"/>
      <c r="I31" s="16"/>
      <c r="J31" s="16"/>
    </row>
    <row r="32" customFormat="false" ht="15" hidden="false" customHeight="false" outlineLevel="0" collapsed="false">
      <c r="A32" s="13" t="s">
        <v>125</v>
      </c>
      <c r="B32" s="14" t="s">
        <v>10</v>
      </c>
      <c r="C32" s="14" t="s">
        <v>9</v>
      </c>
      <c r="D32" s="14" t="s">
        <v>126</v>
      </c>
      <c r="E32" s="14" t="s">
        <v>17</v>
      </c>
      <c r="F32" s="15" t="s">
        <v>127</v>
      </c>
      <c r="G32" s="14" t="s">
        <v>40</v>
      </c>
      <c r="H32" s="16"/>
      <c r="I32" s="16"/>
      <c r="J32" s="16"/>
    </row>
    <row r="33" customFormat="false" ht="15" hidden="false" customHeight="false" outlineLevel="0" collapsed="false">
      <c r="A33" s="13" t="s">
        <v>128</v>
      </c>
      <c r="B33" s="14" t="s">
        <v>10</v>
      </c>
      <c r="C33" s="14" t="s">
        <v>9</v>
      </c>
      <c r="D33" s="14" t="s">
        <v>129</v>
      </c>
      <c r="E33" s="14" t="s">
        <v>24</v>
      </c>
      <c r="F33" s="15" t="s">
        <v>130</v>
      </c>
      <c r="G33" s="14" t="s">
        <v>49</v>
      </c>
      <c r="H33" s="16"/>
      <c r="I33" s="16"/>
      <c r="J33" s="16"/>
    </row>
    <row r="34" customFormat="false" ht="15" hidden="false" customHeight="false" outlineLevel="0" collapsed="false">
      <c r="A34" s="13" t="s">
        <v>131</v>
      </c>
      <c r="B34" s="14" t="s">
        <v>10</v>
      </c>
      <c r="C34" s="14" t="s">
        <v>9</v>
      </c>
      <c r="D34" s="14" t="s">
        <v>132</v>
      </c>
      <c r="E34" s="14" t="s">
        <v>18</v>
      </c>
      <c r="F34" s="15" t="s">
        <v>133</v>
      </c>
      <c r="G34" s="14" t="s">
        <v>40</v>
      </c>
      <c r="H34" s="16"/>
      <c r="I34" s="16"/>
      <c r="J34" s="16"/>
    </row>
    <row r="35" customFormat="false" ht="15" hidden="false" customHeight="false" outlineLevel="0" collapsed="false">
      <c r="A35" s="13" t="s">
        <v>134</v>
      </c>
      <c r="B35" s="14" t="s">
        <v>10</v>
      </c>
      <c r="C35" s="14" t="s">
        <v>9</v>
      </c>
      <c r="D35" s="14" t="s">
        <v>135</v>
      </c>
      <c r="E35" s="14" t="s">
        <v>19</v>
      </c>
      <c r="F35" s="17" t="s">
        <v>136</v>
      </c>
      <c r="G35" s="14" t="s">
        <v>40</v>
      </c>
      <c r="H35" s="16"/>
      <c r="I35" s="16"/>
      <c r="J35" s="16"/>
    </row>
    <row r="36" customFormat="false" ht="15" hidden="false" customHeight="false" outlineLevel="0" collapsed="false">
      <c r="A36" s="13" t="s">
        <v>137</v>
      </c>
      <c r="B36" s="14" t="s">
        <v>10</v>
      </c>
      <c r="C36" s="14" t="s">
        <v>9</v>
      </c>
      <c r="D36" s="14" t="s">
        <v>138</v>
      </c>
      <c r="E36" s="14" t="s">
        <v>17</v>
      </c>
      <c r="F36" s="15" t="s">
        <v>139</v>
      </c>
      <c r="G36" s="14" t="s">
        <v>40</v>
      </c>
      <c r="H36" s="16"/>
      <c r="I36" s="16"/>
      <c r="J36" s="16"/>
    </row>
    <row r="37" customFormat="false" ht="15" hidden="false" customHeight="false" outlineLevel="0" collapsed="false">
      <c r="A37" s="13" t="s">
        <v>140</v>
      </c>
      <c r="B37" s="14" t="s">
        <v>10</v>
      </c>
      <c r="C37" s="14" t="s">
        <v>9</v>
      </c>
      <c r="D37" s="14" t="s">
        <v>141</v>
      </c>
      <c r="E37" s="14" t="s">
        <v>18</v>
      </c>
      <c r="F37" s="15" t="s">
        <v>142</v>
      </c>
      <c r="G37" s="14" t="s">
        <v>49</v>
      </c>
      <c r="H37" s="16"/>
      <c r="I37" s="16"/>
      <c r="J37" s="16"/>
    </row>
    <row r="38" customFormat="false" ht="15" hidden="false" customHeight="false" outlineLevel="0" collapsed="false">
      <c r="A38" s="13" t="s">
        <v>143</v>
      </c>
      <c r="B38" s="14" t="s">
        <v>10</v>
      </c>
      <c r="C38" s="14" t="s">
        <v>9</v>
      </c>
      <c r="D38" s="14" t="s">
        <v>144</v>
      </c>
      <c r="E38" s="14" t="s">
        <v>17</v>
      </c>
      <c r="F38" s="15" t="s">
        <v>145</v>
      </c>
      <c r="G38" s="14" t="s">
        <v>40</v>
      </c>
      <c r="H38" s="16"/>
      <c r="I38" s="16"/>
      <c r="J38" s="16"/>
    </row>
    <row r="39" customFormat="false" ht="15" hidden="false" customHeight="false" outlineLevel="0" collapsed="false">
      <c r="A39" s="13" t="s">
        <v>146</v>
      </c>
      <c r="B39" s="14" t="s">
        <v>10</v>
      </c>
      <c r="C39" s="14" t="s">
        <v>9</v>
      </c>
      <c r="D39" s="14" t="s">
        <v>144</v>
      </c>
      <c r="E39" s="14" t="s">
        <v>25</v>
      </c>
      <c r="F39" s="15" t="s">
        <v>147</v>
      </c>
      <c r="G39" s="14" t="s">
        <v>40</v>
      </c>
      <c r="H39" s="16"/>
      <c r="I39" s="16"/>
      <c r="J39" s="16"/>
    </row>
    <row r="40" customFormat="false" ht="15" hidden="false" customHeight="false" outlineLevel="0" collapsed="false">
      <c r="A40" s="13" t="s">
        <v>148</v>
      </c>
      <c r="B40" s="14" t="s">
        <v>10</v>
      </c>
      <c r="C40" s="14" t="s">
        <v>9</v>
      </c>
      <c r="D40" s="14" t="s">
        <v>149</v>
      </c>
      <c r="E40" s="14" t="s">
        <v>18</v>
      </c>
      <c r="F40" s="15" t="s">
        <v>150</v>
      </c>
      <c r="G40" s="14" t="s">
        <v>40</v>
      </c>
      <c r="H40" s="16"/>
      <c r="I40" s="16"/>
      <c r="J40" s="16"/>
    </row>
    <row r="41" customFormat="false" ht="15" hidden="false" customHeight="false" outlineLevel="0" collapsed="false">
      <c r="A41" s="13" t="s">
        <v>151</v>
      </c>
      <c r="B41" s="14" t="s">
        <v>10</v>
      </c>
      <c r="C41" s="14" t="s">
        <v>9</v>
      </c>
      <c r="D41" s="14" t="s">
        <v>152</v>
      </c>
      <c r="E41" s="14" t="s">
        <v>21</v>
      </c>
      <c r="F41" s="15" t="s">
        <v>153</v>
      </c>
      <c r="G41" s="14" t="s">
        <v>40</v>
      </c>
      <c r="H41" s="16"/>
      <c r="I41" s="16"/>
      <c r="J41" s="16"/>
    </row>
    <row r="42" customFormat="false" ht="15" hidden="false" customHeight="false" outlineLevel="0" collapsed="false">
      <c r="A42" s="13" t="s">
        <v>154</v>
      </c>
      <c r="B42" s="14" t="s">
        <v>10</v>
      </c>
      <c r="C42" s="14" t="s">
        <v>9</v>
      </c>
      <c r="D42" s="14" t="s">
        <v>155</v>
      </c>
      <c r="E42" s="14" t="s">
        <v>17</v>
      </c>
      <c r="F42" s="15" t="s">
        <v>156</v>
      </c>
      <c r="G42" s="14" t="s">
        <v>40</v>
      </c>
      <c r="H42" s="16"/>
      <c r="I42" s="16"/>
      <c r="J42" s="16"/>
    </row>
    <row r="43" customFormat="false" ht="15" hidden="false" customHeight="false" outlineLevel="0" collapsed="false">
      <c r="A43" s="13" t="s">
        <v>157</v>
      </c>
      <c r="B43" s="14" t="s">
        <v>10</v>
      </c>
      <c r="C43" s="14" t="s">
        <v>9</v>
      </c>
      <c r="D43" s="14" t="s">
        <v>158</v>
      </c>
      <c r="E43" s="14" t="s">
        <v>20</v>
      </c>
      <c r="F43" s="15" t="s">
        <v>159</v>
      </c>
      <c r="G43" s="14" t="s">
        <v>40</v>
      </c>
      <c r="H43" s="16"/>
      <c r="I43" s="16"/>
      <c r="J43" s="16"/>
    </row>
    <row r="44" customFormat="false" ht="15" hidden="false" customHeight="false" outlineLevel="0" collapsed="false">
      <c r="A44" s="13" t="s">
        <v>160</v>
      </c>
      <c r="B44" s="14" t="s">
        <v>10</v>
      </c>
      <c r="C44" s="14" t="s">
        <v>9</v>
      </c>
      <c r="D44" s="14" t="s">
        <v>161</v>
      </c>
      <c r="E44" s="14" t="s">
        <v>18</v>
      </c>
      <c r="F44" s="15" t="s">
        <v>162</v>
      </c>
      <c r="G44" s="14" t="s">
        <v>49</v>
      </c>
      <c r="H44" s="16"/>
      <c r="I44" s="16"/>
      <c r="J44" s="16"/>
    </row>
    <row r="45" customFormat="false" ht="15" hidden="false" customHeight="false" outlineLevel="0" collapsed="false">
      <c r="A45" s="13" t="s">
        <v>163</v>
      </c>
      <c r="B45" s="14" t="s">
        <v>10</v>
      </c>
      <c r="C45" s="14" t="s">
        <v>9</v>
      </c>
      <c r="D45" s="14" t="s">
        <v>164</v>
      </c>
      <c r="E45" s="14" t="s">
        <v>25</v>
      </c>
      <c r="F45" s="15" t="s">
        <v>165</v>
      </c>
      <c r="G45" s="14" t="s">
        <v>40</v>
      </c>
      <c r="H45" s="16"/>
      <c r="I45" s="16"/>
      <c r="J45" s="16"/>
    </row>
    <row r="46" customFormat="false" ht="15" hidden="false" customHeight="false" outlineLevel="0" collapsed="false">
      <c r="A46" s="13" t="s">
        <v>166</v>
      </c>
      <c r="B46" s="14" t="s">
        <v>10</v>
      </c>
      <c r="C46" s="14" t="s">
        <v>9</v>
      </c>
      <c r="D46" s="14" t="s">
        <v>167</v>
      </c>
      <c r="E46" s="14" t="s">
        <v>19</v>
      </c>
      <c r="F46" s="15" t="s">
        <v>168</v>
      </c>
      <c r="G46" s="14" t="s">
        <v>40</v>
      </c>
      <c r="H46" s="16"/>
      <c r="I46" s="16"/>
      <c r="J46" s="16"/>
    </row>
    <row r="47" customFormat="false" ht="15" hidden="false" customHeight="false" outlineLevel="0" collapsed="false">
      <c r="A47" s="13" t="s">
        <v>169</v>
      </c>
      <c r="B47" s="14" t="s">
        <v>10</v>
      </c>
      <c r="C47" s="14" t="s">
        <v>9</v>
      </c>
      <c r="D47" s="14" t="s">
        <v>170</v>
      </c>
      <c r="E47" s="14" t="s">
        <v>22</v>
      </c>
      <c r="F47" s="15" t="s">
        <v>171</v>
      </c>
      <c r="G47" s="14" t="s">
        <v>40</v>
      </c>
      <c r="H47" s="16"/>
      <c r="I47" s="16"/>
      <c r="J47" s="16"/>
    </row>
    <row r="48" customFormat="false" ht="15" hidden="false" customHeight="false" outlineLevel="0" collapsed="false">
      <c r="A48" s="13" t="s">
        <v>172</v>
      </c>
      <c r="B48" s="14" t="s">
        <v>10</v>
      </c>
      <c r="C48" s="14" t="s">
        <v>9</v>
      </c>
      <c r="D48" s="14" t="s">
        <v>173</v>
      </c>
      <c r="E48" s="14" t="s">
        <v>17</v>
      </c>
      <c r="F48" s="15" t="s">
        <v>174</v>
      </c>
      <c r="G48" s="14" t="s">
        <v>40</v>
      </c>
      <c r="H48" s="16"/>
      <c r="I48" s="16"/>
      <c r="J48" s="16"/>
    </row>
    <row r="49" customFormat="false" ht="15" hidden="false" customHeight="false" outlineLevel="0" collapsed="false">
      <c r="A49" s="13" t="s">
        <v>175</v>
      </c>
      <c r="B49" s="14" t="s">
        <v>10</v>
      </c>
      <c r="C49" s="14" t="s">
        <v>9</v>
      </c>
      <c r="D49" s="14" t="s">
        <v>176</v>
      </c>
      <c r="E49" s="14" t="s">
        <v>18</v>
      </c>
      <c r="F49" s="17" t="s">
        <v>177</v>
      </c>
      <c r="G49" s="14" t="s">
        <v>49</v>
      </c>
      <c r="H49" s="16"/>
      <c r="I49" s="16"/>
      <c r="J49" s="16"/>
    </row>
    <row r="50" customFormat="false" ht="15" hidden="false" customHeight="false" outlineLevel="0" collapsed="false">
      <c r="A50" s="13" t="s">
        <v>178</v>
      </c>
      <c r="B50" s="14" t="s">
        <v>10</v>
      </c>
      <c r="C50" s="14" t="s">
        <v>9</v>
      </c>
      <c r="D50" s="14" t="s">
        <v>176</v>
      </c>
      <c r="E50" s="14" t="s">
        <v>20</v>
      </c>
      <c r="F50" s="15" t="s">
        <v>179</v>
      </c>
      <c r="G50" s="14" t="s">
        <v>40</v>
      </c>
      <c r="H50" s="16"/>
      <c r="I50" s="16"/>
      <c r="J50" s="16"/>
    </row>
    <row r="51" customFormat="false" ht="15" hidden="false" customHeight="false" outlineLevel="0" collapsed="false">
      <c r="A51" s="13" t="s">
        <v>180</v>
      </c>
      <c r="B51" s="14" t="s">
        <v>10</v>
      </c>
      <c r="C51" s="14" t="s">
        <v>9</v>
      </c>
      <c r="D51" s="14" t="s">
        <v>181</v>
      </c>
      <c r="E51" s="14" t="s">
        <v>17</v>
      </c>
      <c r="F51" s="15" t="s">
        <v>181</v>
      </c>
      <c r="G51" s="14" t="s">
        <v>40</v>
      </c>
      <c r="H51" s="16"/>
      <c r="I51" s="16"/>
      <c r="J51" s="16"/>
    </row>
    <row r="52" customFormat="false" ht="15" hidden="false" customHeight="false" outlineLevel="0" collapsed="false">
      <c r="A52" s="13" t="s">
        <v>182</v>
      </c>
      <c r="B52" s="14" t="s">
        <v>10</v>
      </c>
      <c r="C52" s="14" t="s">
        <v>9</v>
      </c>
      <c r="D52" s="14" t="s">
        <v>183</v>
      </c>
      <c r="E52" s="14" t="s">
        <v>18</v>
      </c>
      <c r="F52" s="17" t="s">
        <v>184</v>
      </c>
      <c r="G52" s="14" t="s">
        <v>49</v>
      </c>
      <c r="H52" s="16"/>
      <c r="I52" s="16"/>
      <c r="J52" s="16"/>
    </row>
    <row r="53" customFormat="false" ht="15" hidden="false" customHeight="false" outlineLevel="0" collapsed="false">
      <c r="A53" s="13" t="s">
        <v>185</v>
      </c>
      <c r="B53" s="14" t="s">
        <v>10</v>
      </c>
      <c r="C53" s="14" t="s">
        <v>9</v>
      </c>
      <c r="D53" s="14" t="s">
        <v>186</v>
      </c>
      <c r="E53" s="14" t="s">
        <v>21</v>
      </c>
      <c r="F53" s="15" t="s">
        <v>187</v>
      </c>
      <c r="G53" s="14" t="s">
        <v>40</v>
      </c>
      <c r="H53" s="16"/>
      <c r="I53" s="16"/>
      <c r="J53" s="16"/>
    </row>
    <row r="54" customFormat="false" ht="15" hidden="false" customHeight="false" outlineLevel="0" collapsed="false">
      <c r="A54" s="13" t="s">
        <v>188</v>
      </c>
      <c r="B54" s="14" t="s">
        <v>10</v>
      </c>
      <c r="C54" s="14" t="s">
        <v>9</v>
      </c>
      <c r="D54" s="14" t="s">
        <v>189</v>
      </c>
      <c r="E54" s="14" t="s">
        <v>19</v>
      </c>
      <c r="F54" s="17" t="s">
        <v>190</v>
      </c>
      <c r="G54" s="14" t="s">
        <v>40</v>
      </c>
      <c r="H54" s="16"/>
      <c r="I54" s="16"/>
      <c r="J54" s="16"/>
    </row>
    <row r="55" customFormat="false" ht="15" hidden="false" customHeight="false" outlineLevel="0" collapsed="false">
      <c r="A55" s="13" t="s">
        <v>191</v>
      </c>
      <c r="B55" s="14" t="s">
        <v>10</v>
      </c>
      <c r="C55" s="14" t="s">
        <v>9</v>
      </c>
      <c r="D55" s="14" t="s">
        <v>192</v>
      </c>
      <c r="E55" s="14" t="s">
        <v>17</v>
      </c>
      <c r="F55" s="15" t="s">
        <v>193</v>
      </c>
      <c r="G55" s="14" t="s">
        <v>40</v>
      </c>
      <c r="H55" s="16"/>
      <c r="I55" s="16"/>
      <c r="J55" s="16"/>
    </row>
    <row r="56" customFormat="false" ht="15" hidden="false" customHeight="false" outlineLevel="0" collapsed="false">
      <c r="A56" s="13" t="s">
        <v>194</v>
      </c>
      <c r="B56" s="14" t="s">
        <v>10</v>
      </c>
      <c r="C56" s="14" t="s">
        <v>9</v>
      </c>
      <c r="D56" s="14" t="s">
        <v>195</v>
      </c>
      <c r="E56" s="14" t="s">
        <v>18</v>
      </c>
      <c r="F56" s="15" t="s">
        <v>196</v>
      </c>
      <c r="G56" s="14" t="s">
        <v>40</v>
      </c>
      <c r="H56" s="16"/>
      <c r="I56" s="16"/>
      <c r="J56" s="16"/>
    </row>
    <row r="57" customFormat="false" ht="15" hidden="false" customHeight="false" outlineLevel="0" collapsed="false">
      <c r="A57" s="13" t="s">
        <v>197</v>
      </c>
      <c r="B57" s="14" t="s">
        <v>10</v>
      </c>
      <c r="C57" s="14" t="s">
        <v>9</v>
      </c>
      <c r="D57" s="14" t="s">
        <v>198</v>
      </c>
      <c r="E57" s="14" t="s">
        <v>17</v>
      </c>
      <c r="F57" s="15" t="s">
        <v>199</v>
      </c>
      <c r="G57" s="14" t="s">
        <v>49</v>
      </c>
      <c r="H57" s="16"/>
      <c r="I57" s="16"/>
      <c r="J57" s="16"/>
    </row>
    <row r="58" customFormat="false" ht="15" hidden="false" customHeight="false" outlineLevel="0" collapsed="false">
      <c r="A58" s="13" t="s">
        <v>200</v>
      </c>
      <c r="B58" s="14" t="s">
        <v>10</v>
      </c>
      <c r="C58" s="14" t="s">
        <v>9</v>
      </c>
      <c r="D58" s="14" t="s">
        <v>201</v>
      </c>
      <c r="E58" s="14" t="s">
        <v>23</v>
      </c>
      <c r="F58" s="15" t="s">
        <v>202</v>
      </c>
      <c r="G58" s="14" t="s">
        <v>49</v>
      </c>
      <c r="H58" s="16"/>
      <c r="I58" s="16"/>
      <c r="J58" s="16"/>
    </row>
    <row r="59" customFormat="false" ht="15" hidden="false" customHeight="false" outlineLevel="0" collapsed="false">
      <c r="A59" s="13" t="s">
        <v>203</v>
      </c>
      <c r="B59" s="14" t="s">
        <v>10</v>
      </c>
      <c r="C59" s="14" t="s">
        <v>9</v>
      </c>
      <c r="D59" s="14" t="s">
        <v>204</v>
      </c>
      <c r="E59" s="14" t="s">
        <v>17</v>
      </c>
      <c r="F59" s="15" t="s">
        <v>205</v>
      </c>
      <c r="G59" s="14" t="s">
        <v>40</v>
      </c>
      <c r="H59" s="16"/>
      <c r="I59" s="16"/>
      <c r="J59" s="16"/>
    </row>
    <row r="60" customFormat="false" ht="15" hidden="false" customHeight="false" outlineLevel="0" collapsed="false">
      <c r="A60" s="13" t="s">
        <v>206</v>
      </c>
      <c r="B60" s="14" t="s">
        <v>10</v>
      </c>
      <c r="C60" s="14" t="s">
        <v>9</v>
      </c>
      <c r="D60" s="14" t="s">
        <v>207</v>
      </c>
      <c r="E60" s="14" t="s">
        <v>25</v>
      </c>
      <c r="F60" s="15" t="s">
        <v>208</v>
      </c>
      <c r="G60" s="14" t="s">
        <v>49</v>
      </c>
      <c r="H60" s="16"/>
      <c r="I60" s="16"/>
      <c r="J60" s="16"/>
    </row>
    <row r="61" customFormat="false" ht="15" hidden="false" customHeight="false" outlineLevel="0" collapsed="false">
      <c r="A61" s="13" t="s">
        <v>209</v>
      </c>
      <c r="B61" s="14" t="s">
        <v>10</v>
      </c>
      <c r="C61" s="14" t="s">
        <v>9</v>
      </c>
      <c r="D61" s="14" t="s">
        <v>210</v>
      </c>
      <c r="E61" s="14" t="s">
        <v>18</v>
      </c>
      <c r="F61" s="15" t="s">
        <v>211</v>
      </c>
      <c r="G61" s="14" t="s">
        <v>40</v>
      </c>
      <c r="H61" s="16"/>
      <c r="I61" s="16"/>
      <c r="J61" s="16"/>
    </row>
    <row r="62" customFormat="false" ht="15" hidden="false" customHeight="false" outlineLevel="0" collapsed="false">
      <c r="A62" s="13" t="s">
        <v>212</v>
      </c>
      <c r="B62" s="14" t="s">
        <v>10</v>
      </c>
      <c r="C62" s="14" t="s">
        <v>9</v>
      </c>
      <c r="D62" s="14" t="s">
        <v>213</v>
      </c>
      <c r="E62" s="14" t="s">
        <v>17</v>
      </c>
      <c r="F62" s="15" t="s">
        <v>214</v>
      </c>
      <c r="G62" s="14" t="s">
        <v>40</v>
      </c>
      <c r="H62" s="16"/>
      <c r="I62" s="16"/>
      <c r="J62" s="16"/>
    </row>
    <row r="63" customFormat="false" ht="15" hidden="false" customHeight="false" outlineLevel="0" collapsed="false">
      <c r="A63" s="13" t="s">
        <v>215</v>
      </c>
      <c r="B63" s="14" t="s">
        <v>10</v>
      </c>
      <c r="C63" s="14" t="s">
        <v>9</v>
      </c>
      <c r="D63" s="14" t="s">
        <v>216</v>
      </c>
      <c r="E63" s="14" t="s">
        <v>19</v>
      </c>
      <c r="F63" s="15" t="s">
        <v>217</v>
      </c>
      <c r="G63" s="14" t="s">
        <v>40</v>
      </c>
      <c r="H63" s="16"/>
      <c r="I63" s="16"/>
      <c r="J63" s="16"/>
    </row>
    <row r="64" customFormat="false" ht="15" hidden="false" customHeight="false" outlineLevel="0" collapsed="false">
      <c r="A64" s="13" t="s">
        <v>218</v>
      </c>
      <c r="B64" s="14" t="s">
        <v>10</v>
      </c>
      <c r="C64" s="14" t="s">
        <v>9</v>
      </c>
      <c r="D64" s="14" t="s">
        <v>219</v>
      </c>
      <c r="E64" s="14" t="s">
        <v>23</v>
      </c>
      <c r="F64" s="15" t="s">
        <v>220</v>
      </c>
      <c r="G64" s="14" t="s">
        <v>49</v>
      </c>
      <c r="H64" s="16"/>
      <c r="I64" s="16"/>
      <c r="J64" s="16"/>
    </row>
    <row r="65" customFormat="false" ht="15" hidden="false" customHeight="false" outlineLevel="0" collapsed="false">
      <c r="A65" s="13" t="s">
        <v>221</v>
      </c>
      <c r="B65" s="14" t="s">
        <v>10</v>
      </c>
      <c r="C65" s="14" t="s">
        <v>9</v>
      </c>
      <c r="D65" s="14" t="s">
        <v>222</v>
      </c>
      <c r="E65" s="14" t="s">
        <v>18</v>
      </c>
      <c r="F65" s="15" t="s">
        <v>223</v>
      </c>
      <c r="G65" s="14" t="s">
        <v>40</v>
      </c>
      <c r="H65" s="16"/>
      <c r="I65" s="16"/>
      <c r="J65" s="16"/>
    </row>
    <row r="66" customFormat="false" ht="15" hidden="false" customHeight="false" outlineLevel="0" collapsed="false">
      <c r="A66" s="13" t="s">
        <v>224</v>
      </c>
      <c r="B66" s="14" t="s">
        <v>10</v>
      </c>
      <c r="C66" s="14" t="s">
        <v>9</v>
      </c>
      <c r="D66" s="14" t="s">
        <v>225</v>
      </c>
      <c r="E66" s="14" t="s">
        <v>17</v>
      </c>
      <c r="F66" s="15" t="s">
        <v>226</v>
      </c>
      <c r="G66" s="14" t="s">
        <v>40</v>
      </c>
      <c r="H66" s="16"/>
      <c r="I66" s="16"/>
      <c r="J66" s="16"/>
    </row>
    <row r="67" customFormat="false" ht="15" hidden="false" customHeight="false" outlineLevel="0" collapsed="false">
      <c r="A67" s="13" t="s">
        <v>227</v>
      </c>
      <c r="B67" s="14" t="s">
        <v>10</v>
      </c>
      <c r="C67" s="14" t="s">
        <v>9</v>
      </c>
      <c r="D67" s="14" t="s">
        <v>228</v>
      </c>
      <c r="E67" s="14" t="s">
        <v>20</v>
      </c>
      <c r="F67" s="15" t="s">
        <v>229</v>
      </c>
      <c r="G67" s="14" t="s">
        <v>40</v>
      </c>
      <c r="H67" s="16"/>
      <c r="I67" s="16"/>
      <c r="J67" s="16"/>
    </row>
    <row r="68" customFormat="false" ht="15" hidden="false" customHeight="false" outlineLevel="0" collapsed="false">
      <c r="A68" s="13" t="s">
        <v>230</v>
      </c>
      <c r="B68" s="14" t="s">
        <v>10</v>
      </c>
      <c r="C68" s="14" t="s">
        <v>9</v>
      </c>
      <c r="D68" s="14" t="s">
        <v>231</v>
      </c>
      <c r="E68" s="14" t="s">
        <v>22</v>
      </c>
      <c r="F68" s="15" t="s">
        <v>232</v>
      </c>
      <c r="G68" s="14" t="s">
        <v>40</v>
      </c>
      <c r="H68" s="16"/>
      <c r="I68" s="16"/>
      <c r="J68" s="16"/>
    </row>
    <row r="69" customFormat="false" ht="15" hidden="false" customHeight="false" outlineLevel="0" collapsed="false">
      <c r="A69" s="13" t="s">
        <v>233</v>
      </c>
      <c r="B69" s="14" t="s">
        <v>10</v>
      </c>
      <c r="C69" s="14" t="s">
        <v>9</v>
      </c>
      <c r="D69" s="14" t="s">
        <v>234</v>
      </c>
      <c r="E69" s="14" t="s">
        <v>24</v>
      </c>
      <c r="F69" s="15" t="s">
        <v>235</v>
      </c>
      <c r="G69" s="14" t="s">
        <v>40</v>
      </c>
      <c r="H69" s="16"/>
      <c r="I69" s="16"/>
      <c r="J69" s="16"/>
    </row>
    <row r="70" customFormat="false" ht="15" hidden="false" customHeight="false" outlineLevel="0" collapsed="false">
      <c r="A70" s="13" t="s">
        <v>236</v>
      </c>
      <c r="B70" s="14" t="s">
        <v>10</v>
      </c>
      <c r="C70" s="14" t="s">
        <v>9</v>
      </c>
      <c r="D70" s="14" t="s">
        <v>237</v>
      </c>
      <c r="E70" s="14" t="s">
        <v>18</v>
      </c>
      <c r="F70" s="15" t="s">
        <v>238</v>
      </c>
      <c r="G70" s="14" t="s">
        <v>49</v>
      </c>
      <c r="H70" s="16"/>
      <c r="I70" s="16"/>
      <c r="J70" s="16"/>
    </row>
    <row r="71" customFormat="false" ht="15" hidden="false" customHeight="false" outlineLevel="0" collapsed="false">
      <c r="A71" s="13" t="s">
        <v>239</v>
      </c>
      <c r="B71" s="14" t="s">
        <v>10</v>
      </c>
      <c r="C71" s="14" t="s">
        <v>9</v>
      </c>
      <c r="D71" s="14" t="s">
        <v>240</v>
      </c>
      <c r="E71" s="14" t="s">
        <v>17</v>
      </c>
      <c r="F71" s="15" t="s">
        <v>241</v>
      </c>
      <c r="G71" s="14" t="s">
        <v>49</v>
      </c>
      <c r="H71" s="16"/>
      <c r="I71" s="16"/>
      <c r="J71" s="16"/>
    </row>
    <row r="72" customFormat="false" ht="15" hidden="false" customHeight="false" outlineLevel="0" collapsed="false">
      <c r="A72" s="13" t="s">
        <v>242</v>
      </c>
      <c r="B72" s="14" t="s">
        <v>10</v>
      </c>
      <c r="C72" s="14" t="s">
        <v>9</v>
      </c>
      <c r="D72" s="14" t="s">
        <v>243</v>
      </c>
      <c r="E72" s="14" t="s">
        <v>21</v>
      </c>
      <c r="F72" s="15" t="s">
        <v>244</v>
      </c>
      <c r="G72" s="14" t="s">
        <v>40</v>
      </c>
      <c r="H72" s="16"/>
      <c r="I72" s="16"/>
      <c r="J72" s="16"/>
    </row>
    <row r="73" customFormat="false" ht="15" hidden="false" customHeight="false" outlineLevel="0" collapsed="false">
      <c r="A73" s="13" t="s">
        <v>245</v>
      </c>
      <c r="B73" s="14" t="s">
        <v>10</v>
      </c>
      <c r="C73" s="14" t="s">
        <v>9</v>
      </c>
      <c r="D73" s="14" t="s">
        <v>246</v>
      </c>
      <c r="E73" s="14" t="s">
        <v>25</v>
      </c>
      <c r="F73" s="17" t="s">
        <v>247</v>
      </c>
      <c r="G73" s="14" t="s">
        <v>49</v>
      </c>
      <c r="H73" s="16"/>
      <c r="I73" s="16"/>
      <c r="J73" s="16"/>
    </row>
    <row r="74" customFormat="false" ht="15" hidden="false" customHeight="false" outlineLevel="0" collapsed="false">
      <c r="A74" s="13" t="s">
        <v>248</v>
      </c>
      <c r="B74" s="14" t="s">
        <v>10</v>
      </c>
      <c r="C74" s="14" t="s">
        <v>9</v>
      </c>
      <c r="D74" s="14" t="s">
        <v>249</v>
      </c>
      <c r="E74" s="14" t="s">
        <v>23</v>
      </c>
      <c r="F74" s="15" t="s">
        <v>250</v>
      </c>
      <c r="G74" s="14" t="s">
        <v>49</v>
      </c>
      <c r="H74" s="16"/>
      <c r="I74" s="16"/>
      <c r="J74" s="16"/>
    </row>
    <row r="75" customFormat="false" ht="15" hidden="false" customHeight="false" outlineLevel="0" collapsed="false">
      <c r="A75" s="13" t="s">
        <v>251</v>
      </c>
      <c r="B75" s="14" t="s">
        <v>10</v>
      </c>
      <c r="C75" s="14" t="s">
        <v>9</v>
      </c>
      <c r="D75" s="14" t="s">
        <v>252</v>
      </c>
      <c r="E75" s="14" t="s">
        <v>18</v>
      </c>
      <c r="F75" s="15" t="s">
        <v>253</v>
      </c>
      <c r="G75" s="14" t="s">
        <v>40</v>
      </c>
      <c r="H75" s="16"/>
      <c r="I75" s="16"/>
      <c r="J75" s="16"/>
    </row>
    <row r="76" customFormat="false" ht="15" hidden="false" customHeight="false" outlineLevel="0" collapsed="false">
      <c r="A76" s="13" t="s">
        <v>254</v>
      </c>
      <c r="B76" s="14" t="s">
        <v>10</v>
      </c>
      <c r="C76" s="14" t="s">
        <v>9</v>
      </c>
      <c r="D76" s="14" t="s">
        <v>255</v>
      </c>
      <c r="E76" s="14" t="s">
        <v>19</v>
      </c>
      <c r="F76" s="17" t="s">
        <v>256</v>
      </c>
      <c r="G76" s="14" t="s">
        <v>40</v>
      </c>
      <c r="H76" s="16"/>
      <c r="I76" s="16"/>
      <c r="J76" s="16"/>
    </row>
    <row r="77" customFormat="false" ht="15" hidden="false" customHeight="false" outlineLevel="0" collapsed="false">
      <c r="A77" s="13" t="s">
        <v>257</v>
      </c>
      <c r="B77" s="14" t="s">
        <v>11</v>
      </c>
      <c r="C77" s="14" t="s">
        <v>9</v>
      </c>
      <c r="D77" s="14" t="s">
        <v>258</v>
      </c>
      <c r="E77" s="14" t="s">
        <v>17</v>
      </c>
      <c r="F77" s="15" t="s">
        <v>259</v>
      </c>
      <c r="G77" s="14" t="s">
        <v>40</v>
      </c>
      <c r="H77" s="16"/>
      <c r="I77" s="16"/>
      <c r="J77" s="16"/>
    </row>
    <row r="78" customFormat="false" ht="15" hidden="false" customHeight="false" outlineLevel="0" collapsed="false">
      <c r="A78" s="13" t="s">
        <v>260</v>
      </c>
      <c r="B78" s="14" t="s">
        <v>11</v>
      </c>
      <c r="C78" s="14" t="s">
        <v>9</v>
      </c>
      <c r="D78" s="14" t="s">
        <v>261</v>
      </c>
      <c r="E78" s="14" t="s">
        <v>18</v>
      </c>
      <c r="F78" s="15" t="s">
        <v>262</v>
      </c>
      <c r="G78" s="14" t="s">
        <v>40</v>
      </c>
      <c r="H78" s="16"/>
      <c r="I78" s="16"/>
      <c r="J78" s="16"/>
    </row>
    <row r="79" customFormat="false" ht="15" hidden="false" customHeight="false" outlineLevel="0" collapsed="false">
      <c r="A79" s="13" t="s">
        <v>263</v>
      </c>
      <c r="B79" s="14" t="s">
        <v>11</v>
      </c>
      <c r="C79" s="14" t="s">
        <v>9</v>
      </c>
      <c r="D79" s="14" t="s">
        <v>264</v>
      </c>
      <c r="E79" s="14" t="s">
        <v>25</v>
      </c>
      <c r="F79" s="15" t="s">
        <v>265</v>
      </c>
      <c r="G79" s="14" t="s">
        <v>49</v>
      </c>
      <c r="H79" s="16"/>
      <c r="I79" s="16"/>
      <c r="J79" s="16"/>
    </row>
    <row r="80" customFormat="false" ht="15" hidden="false" customHeight="false" outlineLevel="0" collapsed="false">
      <c r="A80" s="13" t="s">
        <v>266</v>
      </c>
      <c r="B80" s="14" t="s">
        <v>11</v>
      </c>
      <c r="C80" s="14" t="s">
        <v>9</v>
      </c>
      <c r="D80" s="14" t="s">
        <v>267</v>
      </c>
      <c r="E80" s="14" t="s">
        <v>20</v>
      </c>
      <c r="F80" s="15" t="s">
        <v>268</v>
      </c>
      <c r="G80" s="14" t="s">
        <v>49</v>
      </c>
      <c r="H80" s="16"/>
      <c r="I80" s="16"/>
      <c r="J80" s="16"/>
    </row>
    <row r="81" customFormat="false" ht="15" hidden="false" customHeight="false" outlineLevel="0" collapsed="false">
      <c r="A81" s="13" t="s">
        <v>269</v>
      </c>
      <c r="B81" s="14" t="s">
        <v>11</v>
      </c>
      <c r="C81" s="14" t="s">
        <v>9</v>
      </c>
      <c r="D81" s="14" t="s">
        <v>270</v>
      </c>
      <c r="E81" s="14" t="s">
        <v>18</v>
      </c>
      <c r="F81" s="15" t="s">
        <v>271</v>
      </c>
      <c r="G81" s="14" t="s">
        <v>49</v>
      </c>
      <c r="H81" s="16"/>
      <c r="I81" s="16"/>
      <c r="J81" s="16"/>
    </row>
    <row r="82" customFormat="false" ht="15" hidden="false" customHeight="false" outlineLevel="0" collapsed="false">
      <c r="A82" s="13" t="s">
        <v>272</v>
      </c>
      <c r="B82" s="14" t="s">
        <v>11</v>
      </c>
      <c r="C82" s="14" t="s">
        <v>9</v>
      </c>
      <c r="D82" s="14" t="s">
        <v>273</v>
      </c>
      <c r="E82" s="14" t="s">
        <v>17</v>
      </c>
      <c r="F82" s="15" t="s">
        <v>274</v>
      </c>
      <c r="G82" s="14" t="s">
        <v>40</v>
      </c>
      <c r="H82" s="16"/>
      <c r="I82" s="16"/>
      <c r="J82" s="16"/>
    </row>
    <row r="83" customFormat="false" ht="15" hidden="false" customHeight="false" outlineLevel="0" collapsed="false">
      <c r="A83" s="13" t="s">
        <v>275</v>
      </c>
      <c r="B83" s="14" t="s">
        <v>11</v>
      </c>
      <c r="C83" s="14" t="s">
        <v>9</v>
      </c>
      <c r="D83" s="14" t="s">
        <v>138</v>
      </c>
      <c r="E83" s="14" t="s">
        <v>23</v>
      </c>
      <c r="F83" s="15" t="s">
        <v>276</v>
      </c>
      <c r="G83" s="14" t="s">
        <v>49</v>
      </c>
      <c r="H83" s="16"/>
      <c r="I83" s="16"/>
      <c r="J83" s="16"/>
    </row>
    <row r="84" customFormat="false" ht="15" hidden="false" customHeight="false" outlineLevel="0" collapsed="false">
      <c r="A84" s="13" t="s">
        <v>277</v>
      </c>
      <c r="B84" s="14" t="s">
        <v>11</v>
      </c>
      <c r="C84" s="14" t="s">
        <v>9</v>
      </c>
      <c r="D84" s="14" t="s">
        <v>278</v>
      </c>
      <c r="E84" s="14" t="s">
        <v>17</v>
      </c>
      <c r="F84" s="15" t="s">
        <v>279</v>
      </c>
      <c r="G84" s="14" t="s">
        <v>40</v>
      </c>
      <c r="H84" s="16"/>
      <c r="I84" s="16"/>
      <c r="J84" s="16"/>
    </row>
    <row r="85" customFormat="false" ht="15" hidden="false" customHeight="false" outlineLevel="0" collapsed="false">
      <c r="A85" s="13" t="s">
        <v>280</v>
      </c>
      <c r="B85" s="14" t="s">
        <v>11</v>
      </c>
      <c r="C85" s="14" t="s">
        <v>9</v>
      </c>
      <c r="D85" s="14" t="s">
        <v>281</v>
      </c>
      <c r="E85" s="14" t="s">
        <v>18</v>
      </c>
      <c r="F85" s="15" t="s">
        <v>282</v>
      </c>
      <c r="G85" s="14" t="s">
        <v>40</v>
      </c>
      <c r="H85" s="16"/>
      <c r="I85" s="16"/>
      <c r="J85" s="16"/>
    </row>
    <row r="86" customFormat="false" ht="15" hidden="false" customHeight="false" outlineLevel="0" collapsed="false">
      <c r="A86" s="13" t="s">
        <v>283</v>
      </c>
      <c r="B86" s="14" t="s">
        <v>11</v>
      </c>
      <c r="C86" s="14" t="s">
        <v>9</v>
      </c>
      <c r="D86" s="14" t="s">
        <v>284</v>
      </c>
      <c r="E86" s="14" t="s">
        <v>21</v>
      </c>
      <c r="F86" s="15" t="s">
        <v>285</v>
      </c>
      <c r="G86" s="14" t="s">
        <v>40</v>
      </c>
      <c r="H86" s="16"/>
      <c r="I86" s="16"/>
      <c r="J86" s="16"/>
    </row>
    <row r="87" customFormat="false" ht="15" hidden="false" customHeight="false" outlineLevel="0" collapsed="false">
      <c r="A87" s="13" t="s">
        <v>286</v>
      </c>
      <c r="B87" s="14" t="s">
        <v>11</v>
      </c>
      <c r="C87" s="14" t="s">
        <v>9</v>
      </c>
      <c r="D87" s="14" t="s">
        <v>287</v>
      </c>
      <c r="E87" s="14" t="s">
        <v>17</v>
      </c>
      <c r="F87" s="15" t="s">
        <v>288</v>
      </c>
      <c r="G87" s="14" t="s">
        <v>40</v>
      </c>
      <c r="H87" s="16"/>
      <c r="I87" s="16"/>
      <c r="J87" s="16"/>
    </row>
    <row r="88" customFormat="false" ht="15" hidden="false" customHeight="false" outlineLevel="0" collapsed="false">
      <c r="A88" s="13" t="s">
        <v>289</v>
      </c>
      <c r="B88" s="14" t="s">
        <v>11</v>
      </c>
      <c r="C88" s="14" t="s">
        <v>9</v>
      </c>
      <c r="D88" s="14" t="s">
        <v>290</v>
      </c>
      <c r="E88" s="14" t="s">
        <v>18</v>
      </c>
      <c r="F88" s="15" t="s">
        <v>291</v>
      </c>
      <c r="G88" s="14" t="s">
        <v>40</v>
      </c>
      <c r="H88" s="16"/>
      <c r="I88" s="16"/>
      <c r="J88" s="16"/>
    </row>
    <row r="89" customFormat="false" ht="15" hidden="false" customHeight="false" outlineLevel="0" collapsed="false">
      <c r="A89" s="13" t="s">
        <v>292</v>
      </c>
      <c r="B89" s="14" t="s">
        <v>11</v>
      </c>
      <c r="C89" s="14" t="s">
        <v>9</v>
      </c>
      <c r="D89" s="14" t="s">
        <v>293</v>
      </c>
      <c r="E89" s="14" t="s">
        <v>19</v>
      </c>
      <c r="F89" s="15" t="s">
        <v>294</v>
      </c>
      <c r="G89" s="14" t="s">
        <v>40</v>
      </c>
      <c r="H89" s="16"/>
      <c r="I89" s="16"/>
      <c r="J89" s="16"/>
    </row>
    <row r="90" customFormat="false" ht="15" hidden="false" customHeight="false" outlineLevel="0" collapsed="false">
      <c r="A90" s="13" t="s">
        <v>295</v>
      </c>
      <c r="B90" s="14" t="s">
        <v>11</v>
      </c>
      <c r="C90" s="14" t="s">
        <v>9</v>
      </c>
      <c r="D90" s="14" t="s">
        <v>296</v>
      </c>
      <c r="E90" s="14" t="s">
        <v>22</v>
      </c>
      <c r="F90" s="15" t="s">
        <v>297</v>
      </c>
      <c r="G90" s="14" t="s">
        <v>40</v>
      </c>
      <c r="H90" s="16"/>
      <c r="I90" s="16"/>
      <c r="J90" s="16"/>
    </row>
    <row r="91" customFormat="false" ht="15" hidden="false" customHeight="false" outlineLevel="0" collapsed="false">
      <c r="A91" s="13" t="s">
        <v>298</v>
      </c>
      <c r="B91" s="14" t="s">
        <v>11</v>
      </c>
      <c r="C91" s="14" t="s">
        <v>9</v>
      </c>
      <c r="D91" s="14" t="s">
        <v>299</v>
      </c>
      <c r="E91" s="14" t="s">
        <v>17</v>
      </c>
      <c r="F91" s="15" t="s">
        <v>300</v>
      </c>
      <c r="G91" s="14" t="s">
        <v>40</v>
      </c>
      <c r="H91" s="16"/>
      <c r="I91" s="16"/>
      <c r="J91" s="16"/>
    </row>
    <row r="92" customFormat="false" ht="15" hidden="false" customHeight="false" outlineLevel="0" collapsed="false">
      <c r="A92" s="13" t="s">
        <v>301</v>
      </c>
      <c r="B92" s="14" t="s">
        <v>11</v>
      </c>
      <c r="C92" s="14" t="s">
        <v>9</v>
      </c>
      <c r="D92" s="14" t="s">
        <v>302</v>
      </c>
      <c r="E92" s="14" t="s">
        <v>18</v>
      </c>
      <c r="F92" s="15" t="s">
        <v>303</v>
      </c>
      <c r="G92" s="14" t="s">
        <v>40</v>
      </c>
      <c r="H92" s="16"/>
      <c r="I92" s="16"/>
      <c r="J92" s="16"/>
    </row>
    <row r="93" customFormat="false" ht="15" hidden="false" customHeight="false" outlineLevel="0" collapsed="false">
      <c r="A93" s="13" t="s">
        <v>304</v>
      </c>
      <c r="B93" s="14" t="s">
        <v>11</v>
      </c>
      <c r="C93" s="14" t="s">
        <v>9</v>
      </c>
      <c r="D93" s="14" t="s">
        <v>305</v>
      </c>
      <c r="E93" s="14" t="s">
        <v>20</v>
      </c>
      <c r="F93" s="15" t="s">
        <v>306</v>
      </c>
      <c r="G93" s="14" t="s">
        <v>40</v>
      </c>
      <c r="H93" s="16"/>
      <c r="I93" s="16"/>
      <c r="J93" s="16"/>
    </row>
    <row r="94" customFormat="false" ht="15" hidden="false" customHeight="false" outlineLevel="0" collapsed="false">
      <c r="A94" s="13" t="s">
        <v>307</v>
      </c>
      <c r="B94" s="14" t="s">
        <v>11</v>
      </c>
      <c r="C94" s="14" t="s">
        <v>9</v>
      </c>
      <c r="D94" s="14" t="s">
        <v>308</v>
      </c>
      <c r="E94" s="14" t="s">
        <v>17</v>
      </c>
      <c r="F94" s="15" t="s">
        <v>309</v>
      </c>
      <c r="G94" s="14" t="s">
        <v>310</v>
      </c>
      <c r="H94" s="16"/>
      <c r="I94" s="16"/>
      <c r="J94" s="16"/>
    </row>
    <row r="95" customFormat="false" ht="15" hidden="false" customHeight="false" outlineLevel="0" collapsed="false">
      <c r="A95" s="13" t="s">
        <v>311</v>
      </c>
      <c r="B95" s="14" t="s">
        <v>11</v>
      </c>
      <c r="C95" s="14" t="s">
        <v>9</v>
      </c>
      <c r="D95" s="14" t="s">
        <v>312</v>
      </c>
      <c r="E95" s="14" t="s">
        <v>24</v>
      </c>
      <c r="F95" s="15" t="s">
        <v>313</v>
      </c>
      <c r="G95" s="14" t="s">
        <v>40</v>
      </c>
      <c r="H95" s="16"/>
      <c r="I95" s="16"/>
      <c r="J95" s="16"/>
    </row>
    <row r="96" customFormat="false" ht="15" hidden="false" customHeight="false" outlineLevel="0" collapsed="false">
      <c r="A96" s="13" t="s">
        <v>314</v>
      </c>
      <c r="B96" s="14" t="s">
        <v>11</v>
      </c>
      <c r="C96" s="14" t="s">
        <v>9</v>
      </c>
      <c r="D96" s="14" t="s">
        <v>315</v>
      </c>
      <c r="E96" s="14" t="s">
        <v>18</v>
      </c>
      <c r="F96" s="15" t="s">
        <v>316</v>
      </c>
      <c r="G96" s="14" t="s">
        <v>310</v>
      </c>
      <c r="H96" s="16"/>
      <c r="I96" s="16"/>
      <c r="J96" s="16"/>
    </row>
    <row r="97" customFormat="false" ht="15" hidden="false" customHeight="false" outlineLevel="0" collapsed="false">
      <c r="A97" s="13" t="s">
        <v>317</v>
      </c>
      <c r="B97" s="14" t="s">
        <v>11</v>
      </c>
      <c r="C97" s="14" t="s">
        <v>9</v>
      </c>
      <c r="D97" s="14" t="s">
        <v>318</v>
      </c>
      <c r="E97" s="14" t="s">
        <v>20</v>
      </c>
      <c r="F97" s="15" t="s">
        <v>319</v>
      </c>
      <c r="G97" s="14" t="s">
        <v>40</v>
      </c>
      <c r="H97" s="16"/>
      <c r="I97" s="16"/>
      <c r="J97" s="16"/>
    </row>
    <row r="98" customFormat="false" ht="15" hidden="false" customHeight="false" outlineLevel="0" collapsed="false">
      <c r="A98" s="13" t="s">
        <v>320</v>
      </c>
      <c r="B98" s="14" t="s">
        <v>11</v>
      </c>
      <c r="C98" s="14" t="s">
        <v>9</v>
      </c>
      <c r="D98" s="14" t="s">
        <v>321</v>
      </c>
      <c r="E98" s="14" t="s">
        <v>23</v>
      </c>
      <c r="F98" s="15" t="s">
        <v>322</v>
      </c>
      <c r="G98" s="14" t="s">
        <v>49</v>
      </c>
      <c r="H98" s="16"/>
      <c r="I98" s="16"/>
      <c r="J98" s="16"/>
    </row>
    <row r="99" customFormat="false" ht="15" hidden="false" customHeight="false" outlineLevel="0" collapsed="false">
      <c r="A99" s="13" t="s">
        <v>323</v>
      </c>
      <c r="B99" s="14" t="s">
        <v>11</v>
      </c>
      <c r="C99" s="14" t="s">
        <v>9</v>
      </c>
      <c r="D99" s="14" t="s">
        <v>324</v>
      </c>
      <c r="E99" s="14" t="s">
        <v>17</v>
      </c>
      <c r="F99" s="15" t="s">
        <v>325</v>
      </c>
      <c r="G99" s="14" t="s">
        <v>40</v>
      </c>
      <c r="H99" s="16"/>
      <c r="I99" s="16"/>
      <c r="J99" s="16"/>
    </row>
    <row r="100" customFormat="false" ht="15" hidden="false" customHeight="false" outlineLevel="0" collapsed="false">
      <c r="A100" s="13" t="s">
        <v>326</v>
      </c>
      <c r="B100" s="14" t="s">
        <v>11</v>
      </c>
      <c r="C100" s="14" t="s">
        <v>9</v>
      </c>
      <c r="D100" s="14" t="s">
        <v>66</v>
      </c>
      <c r="E100" s="14" t="s">
        <v>25</v>
      </c>
      <c r="F100" s="15" t="s">
        <v>327</v>
      </c>
      <c r="G100" s="14" t="s">
        <v>49</v>
      </c>
      <c r="H100" s="16"/>
      <c r="I100" s="16"/>
      <c r="J100" s="16"/>
    </row>
    <row r="101" customFormat="false" ht="15" hidden="false" customHeight="false" outlineLevel="0" collapsed="false">
      <c r="A101" s="13" t="s">
        <v>328</v>
      </c>
      <c r="B101" s="14" t="s">
        <v>11</v>
      </c>
      <c r="C101" s="14" t="s">
        <v>9</v>
      </c>
      <c r="D101" s="14" t="s">
        <v>329</v>
      </c>
      <c r="E101" s="14" t="s">
        <v>21</v>
      </c>
      <c r="F101" s="15" t="s">
        <v>330</v>
      </c>
      <c r="G101" s="14" t="s">
        <v>40</v>
      </c>
      <c r="H101" s="16"/>
      <c r="I101" s="16"/>
      <c r="J101" s="16"/>
    </row>
    <row r="102" customFormat="false" ht="15" hidden="false" customHeight="false" outlineLevel="0" collapsed="false">
      <c r="A102" s="13" t="s">
        <v>331</v>
      </c>
      <c r="B102" s="14" t="s">
        <v>8</v>
      </c>
      <c r="C102" s="14" t="s">
        <v>12</v>
      </c>
      <c r="D102" s="14" t="s">
        <v>332</v>
      </c>
      <c r="E102" s="14" t="s">
        <v>17</v>
      </c>
      <c r="F102" s="15" t="s">
        <v>333</v>
      </c>
      <c r="G102" s="14" t="s">
        <v>40</v>
      </c>
      <c r="H102" s="16"/>
      <c r="I102" s="16"/>
      <c r="J102" s="16"/>
    </row>
    <row r="103" customFormat="false" ht="15" hidden="false" customHeight="false" outlineLevel="0" collapsed="false">
      <c r="A103" s="13" t="s">
        <v>334</v>
      </c>
      <c r="B103" s="14" t="s">
        <v>8</v>
      </c>
      <c r="C103" s="14" t="s">
        <v>12</v>
      </c>
      <c r="D103" s="14" t="s">
        <v>332</v>
      </c>
      <c r="E103" s="14" t="s">
        <v>18</v>
      </c>
      <c r="F103" s="15" t="s">
        <v>335</v>
      </c>
      <c r="G103" s="14" t="s">
        <v>40</v>
      </c>
      <c r="H103" s="16"/>
      <c r="I103" s="16"/>
      <c r="J103" s="16"/>
    </row>
    <row r="104" customFormat="false" ht="15" hidden="false" customHeight="false" outlineLevel="0" collapsed="false">
      <c r="A104" s="13" t="s">
        <v>336</v>
      </c>
      <c r="B104" s="14" t="s">
        <v>8</v>
      </c>
      <c r="C104" s="14" t="s">
        <v>12</v>
      </c>
      <c r="D104" s="14" t="s">
        <v>337</v>
      </c>
      <c r="E104" s="14" t="s">
        <v>20</v>
      </c>
      <c r="F104" s="15" t="s">
        <v>338</v>
      </c>
      <c r="G104" s="14" t="s">
        <v>40</v>
      </c>
      <c r="H104" s="16"/>
      <c r="I104" s="16"/>
      <c r="J104" s="16"/>
    </row>
    <row r="105" customFormat="false" ht="15" hidden="false" customHeight="false" outlineLevel="0" collapsed="false">
      <c r="A105" s="13" t="s">
        <v>339</v>
      </c>
      <c r="B105" s="14" t="s">
        <v>8</v>
      </c>
      <c r="C105" s="14" t="s">
        <v>12</v>
      </c>
      <c r="D105" s="14" t="s">
        <v>340</v>
      </c>
      <c r="E105" s="14" t="s">
        <v>19</v>
      </c>
      <c r="F105" s="17" t="s">
        <v>341</v>
      </c>
      <c r="G105" s="14" t="s">
        <v>40</v>
      </c>
      <c r="H105" s="16"/>
      <c r="I105" s="16"/>
      <c r="J105" s="16"/>
    </row>
    <row r="106" customFormat="false" ht="15" hidden="false" customHeight="false" outlineLevel="0" collapsed="false">
      <c r="A106" s="13" t="s">
        <v>342</v>
      </c>
      <c r="B106" s="14" t="s">
        <v>8</v>
      </c>
      <c r="C106" s="14" t="s">
        <v>12</v>
      </c>
      <c r="D106" s="14" t="s">
        <v>343</v>
      </c>
      <c r="E106" s="14" t="s">
        <v>17</v>
      </c>
      <c r="F106" s="15" t="s">
        <v>344</v>
      </c>
      <c r="G106" s="14" t="s">
        <v>40</v>
      </c>
      <c r="H106" s="16"/>
      <c r="I106" s="16"/>
      <c r="J106" s="16"/>
    </row>
    <row r="107" customFormat="false" ht="15" hidden="false" customHeight="false" outlineLevel="0" collapsed="false">
      <c r="A107" s="13" t="s">
        <v>345</v>
      </c>
      <c r="B107" s="14" t="s">
        <v>8</v>
      </c>
      <c r="C107" s="14" t="s">
        <v>12</v>
      </c>
      <c r="D107" s="14" t="s">
        <v>346</v>
      </c>
      <c r="E107" s="14" t="s">
        <v>18</v>
      </c>
      <c r="F107" s="15" t="s">
        <v>347</v>
      </c>
      <c r="G107" s="14" t="s">
        <v>40</v>
      </c>
      <c r="H107" s="16"/>
      <c r="I107" s="16"/>
      <c r="J107" s="16"/>
    </row>
    <row r="108" customFormat="false" ht="15" hidden="false" customHeight="false" outlineLevel="0" collapsed="false">
      <c r="A108" s="13" t="s">
        <v>348</v>
      </c>
      <c r="B108" s="14" t="s">
        <v>8</v>
      </c>
      <c r="C108" s="14" t="s">
        <v>12</v>
      </c>
      <c r="D108" s="14" t="s">
        <v>349</v>
      </c>
      <c r="E108" s="14" t="s">
        <v>20</v>
      </c>
      <c r="F108" s="15" t="s">
        <v>350</v>
      </c>
      <c r="G108" s="14" t="s">
        <v>40</v>
      </c>
      <c r="H108" s="16"/>
      <c r="I108" s="16"/>
      <c r="J108" s="16"/>
    </row>
    <row r="109" customFormat="false" ht="15" hidden="false" customHeight="false" outlineLevel="0" collapsed="false">
      <c r="A109" s="13" t="s">
        <v>351</v>
      </c>
      <c r="B109" s="14" t="s">
        <v>8</v>
      </c>
      <c r="C109" s="14" t="s">
        <v>12</v>
      </c>
      <c r="D109" s="14" t="s">
        <v>352</v>
      </c>
      <c r="E109" s="14" t="s">
        <v>18</v>
      </c>
      <c r="F109" s="15" t="s">
        <v>353</v>
      </c>
      <c r="G109" s="14" t="s">
        <v>40</v>
      </c>
      <c r="H109" s="16"/>
      <c r="I109" s="16"/>
      <c r="J109" s="16"/>
    </row>
    <row r="110" customFormat="false" ht="15" hidden="false" customHeight="false" outlineLevel="0" collapsed="false">
      <c r="A110" s="13" t="s">
        <v>354</v>
      </c>
      <c r="B110" s="14" t="s">
        <v>8</v>
      </c>
      <c r="C110" s="14" t="s">
        <v>12</v>
      </c>
      <c r="D110" s="14" t="s">
        <v>355</v>
      </c>
      <c r="E110" s="14" t="s">
        <v>17</v>
      </c>
      <c r="F110" s="15" t="s">
        <v>356</v>
      </c>
      <c r="G110" s="14" t="s">
        <v>40</v>
      </c>
      <c r="H110" s="16"/>
      <c r="I110" s="16"/>
      <c r="J110" s="16"/>
    </row>
    <row r="111" customFormat="false" ht="15" hidden="false" customHeight="false" outlineLevel="0" collapsed="false">
      <c r="A111" s="13" t="s">
        <v>357</v>
      </c>
      <c r="B111" s="14" t="s">
        <v>8</v>
      </c>
      <c r="C111" s="14" t="s">
        <v>12</v>
      </c>
      <c r="D111" s="14" t="s">
        <v>358</v>
      </c>
      <c r="E111" s="14" t="s">
        <v>22</v>
      </c>
      <c r="F111" s="15" t="s">
        <v>359</v>
      </c>
      <c r="G111" s="14" t="s">
        <v>40</v>
      </c>
      <c r="H111" s="16"/>
      <c r="I111" s="16"/>
      <c r="J111" s="16"/>
    </row>
    <row r="112" customFormat="false" ht="15" hidden="false" customHeight="false" outlineLevel="0" collapsed="false">
      <c r="A112" s="13" t="s">
        <v>360</v>
      </c>
      <c r="B112" s="14" t="s">
        <v>8</v>
      </c>
      <c r="C112" s="14" t="s">
        <v>12</v>
      </c>
      <c r="D112" s="14" t="s">
        <v>361</v>
      </c>
      <c r="E112" s="14" t="s">
        <v>18</v>
      </c>
      <c r="F112" s="15" t="s">
        <v>362</v>
      </c>
      <c r="G112" s="14" t="s">
        <v>40</v>
      </c>
      <c r="H112" s="16"/>
      <c r="I112" s="16"/>
      <c r="J112" s="16"/>
    </row>
    <row r="113" customFormat="false" ht="15" hidden="false" customHeight="false" outlineLevel="0" collapsed="false">
      <c r="A113" s="13" t="s">
        <v>363</v>
      </c>
      <c r="B113" s="14" t="s">
        <v>8</v>
      </c>
      <c r="C113" s="14" t="s">
        <v>12</v>
      </c>
      <c r="D113" s="14" t="s">
        <v>364</v>
      </c>
      <c r="E113" s="14" t="s">
        <v>17</v>
      </c>
      <c r="F113" s="15" t="s">
        <v>365</v>
      </c>
      <c r="G113" s="14" t="s">
        <v>40</v>
      </c>
      <c r="H113" s="16"/>
      <c r="I113" s="16"/>
      <c r="J113" s="16"/>
    </row>
    <row r="114" customFormat="false" ht="15" hidden="false" customHeight="false" outlineLevel="0" collapsed="false">
      <c r="A114" s="13" t="s">
        <v>366</v>
      </c>
      <c r="B114" s="14" t="s">
        <v>8</v>
      </c>
      <c r="C114" s="14" t="s">
        <v>12</v>
      </c>
      <c r="D114" s="14" t="s">
        <v>367</v>
      </c>
      <c r="E114" s="14" t="s">
        <v>20</v>
      </c>
      <c r="F114" s="15" t="s">
        <v>368</v>
      </c>
      <c r="G114" s="14" t="s">
        <v>40</v>
      </c>
      <c r="H114" s="16"/>
      <c r="I114" s="16"/>
      <c r="J114" s="16"/>
    </row>
    <row r="115" customFormat="false" ht="15" hidden="false" customHeight="false" outlineLevel="0" collapsed="false">
      <c r="A115" s="13" t="s">
        <v>369</v>
      </c>
      <c r="B115" s="14" t="s">
        <v>8</v>
      </c>
      <c r="C115" s="14" t="s">
        <v>12</v>
      </c>
      <c r="D115" s="14" t="s">
        <v>367</v>
      </c>
      <c r="E115" s="14" t="s">
        <v>19</v>
      </c>
      <c r="F115" s="17" t="s">
        <v>370</v>
      </c>
      <c r="G115" s="14" t="s">
        <v>40</v>
      </c>
      <c r="H115" s="16"/>
      <c r="I115" s="16"/>
      <c r="J115" s="16"/>
    </row>
    <row r="116" customFormat="false" ht="15" hidden="false" customHeight="false" outlineLevel="0" collapsed="false">
      <c r="A116" s="13" t="s">
        <v>371</v>
      </c>
      <c r="B116" s="14" t="s">
        <v>8</v>
      </c>
      <c r="C116" s="14" t="s">
        <v>12</v>
      </c>
      <c r="D116" s="14" t="s">
        <v>372</v>
      </c>
      <c r="E116" s="14" t="s">
        <v>17</v>
      </c>
      <c r="F116" s="15" t="s">
        <v>373</v>
      </c>
      <c r="G116" s="14" t="s">
        <v>40</v>
      </c>
      <c r="H116" s="16"/>
      <c r="I116" s="16"/>
      <c r="J116" s="16"/>
    </row>
    <row r="117" customFormat="false" ht="15" hidden="false" customHeight="false" outlineLevel="0" collapsed="false">
      <c r="A117" s="13" t="s">
        <v>374</v>
      </c>
      <c r="B117" s="14" t="s">
        <v>8</v>
      </c>
      <c r="C117" s="14" t="s">
        <v>12</v>
      </c>
      <c r="D117" s="14" t="s">
        <v>375</v>
      </c>
      <c r="E117" s="14" t="s">
        <v>18</v>
      </c>
      <c r="F117" s="15" t="s">
        <v>376</v>
      </c>
      <c r="G117" s="14" t="s">
        <v>40</v>
      </c>
      <c r="H117" s="16"/>
      <c r="I117" s="16"/>
      <c r="J117" s="16"/>
    </row>
    <row r="118" customFormat="false" ht="15" hidden="false" customHeight="false" outlineLevel="0" collapsed="false">
      <c r="A118" s="13" t="s">
        <v>377</v>
      </c>
      <c r="B118" s="14" t="s">
        <v>8</v>
      </c>
      <c r="C118" s="14" t="s">
        <v>12</v>
      </c>
      <c r="D118" s="14" t="s">
        <v>378</v>
      </c>
      <c r="E118" s="14" t="s">
        <v>20</v>
      </c>
      <c r="F118" s="15" t="s">
        <v>379</v>
      </c>
      <c r="G118" s="14" t="s">
        <v>40</v>
      </c>
      <c r="H118" s="16"/>
      <c r="I118" s="16"/>
      <c r="J118" s="16"/>
    </row>
    <row r="119" customFormat="false" ht="15" hidden="false" customHeight="false" outlineLevel="0" collapsed="false">
      <c r="A119" s="13" t="s">
        <v>380</v>
      </c>
      <c r="B119" s="14" t="s">
        <v>8</v>
      </c>
      <c r="C119" s="14" t="s">
        <v>12</v>
      </c>
      <c r="D119" s="14" t="s">
        <v>378</v>
      </c>
      <c r="E119" s="14" t="s">
        <v>18</v>
      </c>
      <c r="F119" s="15" t="s">
        <v>381</v>
      </c>
      <c r="G119" s="14" t="s">
        <v>40</v>
      </c>
      <c r="H119" s="16"/>
      <c r="I119" s="16"/>
      <c r="J119" s="16"/>
    </row>
    <row r="120" customFormat="false" ht="15" hidden="false" customHeight="false" outlineLevel="0" collapsed="false">
      <c r="A120" s="13" t="s">
        <v>382</v>
      </c>
      <c r="B120" s="14" t="s">
        <v>8</v>
      </c>
      <c r="C120" s="14" t="s">
        <v>12</v>
      </c>
      <c r="D120" s="14" t="s">
        <v>383</v>
      </c>
      <c r="E120" s="14" t="s">
        <v>17</v>
      </c>
      <c r="F120" s="15" t="s">
        <v>384</v>
      </c>
      <c r="G120" s="14" t="s">
        <v>40</v>
      </c>
      <c r="H120" s="16"/>
      <c r="I120" s="16"/>
      <c r="J120" s="16"/>
    </row>
    <row r="121" customFormat="false" ht="15" hidden="false" customHeight="false" outlineLevel="0" collapsed="false">
      <c r="A121" s="13" t="s">
        <v>385</v>
      </c>
      <c r="B121" s="14" t="s">
        <v>8</v>
      </c>
      <c r="C121" s="14" t="s">
        <v>12</v>
      </c>
      <c r="D121" s="14" t="s">
        <v>386</v>
      </c>
      <c r="E121" s="14" t="s">
        <v>23</v>
      </c>
      <c r="F121" s="15" t="s">
        <v>387</v>
      </c>
      <c r="G121" s="14" t="s">
        <v>40</v>
      </c>
      <c r="H121" s="16"/>
      <c r="I121" s="16"/>
      <c r="J121" s="16"/>
    </row>
    <row r="122" customFormat="false" ht="15" hidden="false" customHeight="false" outlineLevel="0" collapsed="false">
      <c r="A122" s="13" t="s">
        <v>388</v>
      </c>
      <c r="B122" s="14" t="s">
        <v>8</v>
      </c>
      <c r="C122" s="14" t="s">
        <v>12</v>
      </c>
      <c r="D122" s="14" t="s">
        <v>383</v>
      </c>
      <c r="E122" s="14" t="s">
        <v>25</v>
      </c>
      <c r="F122" s="15" t="s">
        <v>389</v>
      </c>
      <c r="G122" s="14" t="s">
        <v>49</v>
      </c>
      <c r="H122" s="16"/>
      <c r="I122" s="16"/>
      <c r="J122" s="16"/>
    </row>
    <row r="123" customFormat="false" ht="15" hidden="false" customHeight="false" outlineLevel="0" collapsed="false">
      <c r="A123" s="13" t="s">
        <v>390</v>
      </c>
      <c r="B123" s="14" t="s">
        <v>8</v>
      </c>
      <c r="C123" s="14" t="s">
        <v>12</v>
      </c>
      <c r="D123" s="14" t="s">
        <v>391</v>
      </c>
      <c r="E123" s="14" t="s">
        <v>18</v>
      </c>
      <c r="F123" s="15" t="s">
        <v>392</v>
      </c>
      <c r="G123" s="14" t="s">
        <v>40</v>
      </c>
      <c r="H123" s="16"/>
      <c r="I123" s="16"/>
      <c r="J123" s="16"/>
    </row>
    <row r="124" customFormat="false" ht="15" hidden="false" customHeight="false" outlineLevel="0" collapsed="false">
      <c r="A124" s="13" t="s">
        <v>393</v>
      </c>
      <c r="B124" s="14" t="s">
        <v>8</v>
      </c>
      <c r="C124" s="14" t="s">
        <v>12</v>
      </c>
      <c r="D124" s="14" t="s">
        <v>394</v>
      </c>
      <c r="E124" s="14" t="s">
        <v>17</v>
      </c>
      <c r="F124" s="15" t="s">
        <v>395</v>
      </c>
      <c r="G124" s="14" t="s">
        <v>40</v>
      </c>
      <c r="H124" s="16"/>
      <c r="I124" s="16"/>
      <c r="J124" s="16"/>
    </row>
    <row r="125" customFormat="false" ht="15" hidden="false" customHeight="false" outlineLevel="0" collapsed="false">
      <c r="A125" s="13" t="s">
        <v>396</v>
      </c>
      <c r="B125" s="14" t="s">
        <v>8</v>
      </c>
      <c r="C125" s="14" t="s">
        <v>12</v>
      </c>
      <c r="D125" s="14" t="s">
        <v>397</v>
      </c>
      <c r="E125" s="14" t="s">
        <v>21</v>
      </c>
      <c r="F125" s="15" t="s">
        <v>398</v>
      </c>
      <c r="G125" s="14" t="s">
        <v>40</v>
      </c>
      <c r="H125" s="16"/>
      <c r="I125" s="16"/>
      <c r="J125" s="16"/>
    </row>
    <row r="126" customFormat="false" ht="15" hidden="false" customHeight="false" outlineLevel="0" collapsed="false">
      <c r="A126" s="13" t="s">
        <v>399</v>
      </c>
      <c r="B126" s="14" t="s">
        <v>8</v>
      </c>
      <c r="C126" s="14" t="s">
        <v>12</v>
      </c>
      <c r="D126" s="14" t="s">
        <v>400</v>
      </c>
      <c r="E126" s="14" t="s">
        <v>18</v>
      </c>
      <c r="F126" s="15" t="s">
        <v>401</v>
      </c>
      <c r="G126" s="14" t="s">
        <v>40</v>
      </c>
      <c r="H126" s="16"/>
      <c r="I126" s="16"/>
      <c r="J126" s="16"/>
    </row>
    <row r="127" customFormat="false" ht="15" hidden="false" customHeight="false" outlineLevel="0" collapsed="false">
      <c r="A127" s="13" t="s">
        <v>402</v>
      </c>
      <c r="B127" s="14" t="s">
        <v>8</v>
      </c>
      <c r="C127" s="14" t="s">
        <v>12</v>
      </c>
      <c r="D127" s="14" t="s">
        <v>403</v>
      </c>
      <c r="E127" s="14" t="s">
        <v>20</v>
      </c>
      <c r="F127" s="15" t="s">
        <v>404</v>
      </c>
      <c r="G127" s="14" t="s">
        <v>40</v>
      </c>
      <c r="H127" s="16"/>
      <c r="I127" s="16"/>
      <c r="J127" s="16"/>
    </row>
    <row r="128" customFormat="false" ht="15" hidden="false" customHeight="false" outlineLevel="0" collapsed="false">
      <c r="A128" s="13" t="s">
        <v>405</v>
      </c>
      <c r="B128" s="14" t="s">
        <v>8</v>
      </c>
      <c r="C128" s="14" t="s">
        <v>12</v>
      </c>
      <c r="D128" s="14" t="s">
        <v>406</v>
      </c>
      <c r="E128" s="14" t="s">
        <v>17</v>
      </c>
      <c r="F128" s="15" t="s">
        <v>407</v>
      </c>
      <c r="G128" s="14" t="s">
        <v>40</v>
      </c>
      <c r="H128" s="16"/>
      <c r="I128" s="16"/>
      <c r="J128" s="16"/>
    </row>
    <row r="129" customFormat="false" ht="15" hidden="false" customHeight="false" outlineLevel="0" collapsed="false">
      <c r="A129" s="13" t="s">
        <v>408</v>
      </c>
      <c r="B129" s="14" t="s">
        <v>8</v>
      </c>
      <c r="C129" s="14" t="s">
        <v>12</v>
      </c>
      <c r="D129" s="14" t="s">
        <v>409</v>
      </c>
      <c r="E129" s="14" t="s">
        <v>18</v>
      </c>
      <c r="F129" s="15" t="s">
        <v>410</v>
      </c>
      <c r="G129" s="14" t="s">
        <v>49</v>
      </c>
      <c r="H129" s="16"/>
      <c r="I129" s="16"/>
      <c r="J129" s="16"/>
    </row>
    <row r="130" customFormat="false" ht="15" hidden="false" customHeight="false" outlineLevel="0" collapsed="false">
      <c r="A130" s="13" t="s">
        <v>411</v>
      </c>
      <c r="B130" s="14" t="s">
        <v>8</v>
      </c>
      <c r="C130" s="14" t="s">
        <v>12</v>
      </c>
      <c r="D130" s="14" t="s">
        <v>412</v>
      </c>
      <c r="E130" s="14" t="s">
        <v>20</v>
      </c>
      <c r="F130" s="15" t="s">
        <v>413</v>
      </c>
      <c r="G130" s="14" t="s">
        <v>40</v>
      </c>
      <c r="H130" s="16"/>
      <c r="I130" s="16"/>
      <c r="J130" s="16"/>
    </row>
    <row r="131" customFormat="false" ht="15" hidden="false" customHeight="false" outlineLevel="0" collapsed="false">
      <c r="A131" s="13" t="s">
        <v>414</v>
      </c>
      <c r="B131" s="14" t="s">
        <v>8</v>
      </c>
      <c r="C131" s="14" t="s">
        <v>12</v>
      </c>
      <c r="D131" s="14" t="s">
        <v>415</v>
      </c>
      <c r="E131" s="14" t="s">
        <v>22</v>
      </c>
      <c r="F131" s="15" t="s">
        <v>416</v>
      </c>
      <c r="G131" s="14" t="s">
        <v>40</v>
      </c>
      <c r="H131" s="16"/>
      <c r="I131" s="16"/>
      <c r="J131" s="16"/>
    </row>
    <row r="132" customFormat="false" ht="15" hidden="false" customHeight="false" outlineLevel="0" collapsed="false">
      <c r="A132" s="13" t="s">
        <v>417</v>
      </c>
      <c r="B132" s="14" t="s">
        <v>8</v>
      </c>
      <c r="C132" s="14" t="s">
        <v>12</v>
      </c>
      <c r="D132" s="14" t="s">
        <v>418</v>
      </c>
      <c r="E132" s="14" t="s">
        <v>21</v>
      </c>
      <c r="F132" s="15" t="s">
        <v>419</v>
      </c>
      <c r="G132" s="14" t="s">
        <v>40</v>
      </c>
      <c r="H132" s="16"/>
      <c r="I132" s="16"/>
      <c r="J132" s="16"/>
    </row>
    <row r="133" customFormat="false" ht="15" hidden="false" customHeight="false" outlineLevel="0" collapsed="false">
      <c r="A133" s="13" t="s">
        <v>420</v>
      </c>
      <c r="B133" s="14" t="s">
        <v>8</v>
      </c>
      <c r="C133" s="14" t="s">
        <v>12</v>
      </c>
      <c r="D133" s="14" t="s">
        <v>421</v>
      </c>
      <c r="E133" s="14" t="s">
        <v>24</v>
      </c>
      <c r="F133" s="15" t="s">
        <v>422</v>
      </c>
      <c r="G133" s="14" t="s">
        <v>40</v>
      </c>
      <c r="H133" s="16"/>
      <c r="I133" s="16"/>
      <c r="J133" s="16"/>
    </row>
    <row r="134" customFormat="false" ht="15" hidden="false" customHeight="false" outlineLevel="0" collapsed="false">
      <c r="A134" s="13" t="s">
        <v>423</v>
      </c>
      <c r="B134" s="14" t="s">
        <v>8</v>
      </c>
      <c r="C134" s="14" t="s">
        <v>12</v>
      </c>
      <c r="D134" s="14" t="s">
        <v>424</v>
      </c>
      <c r="E134" s="14" t="s">
        <v>17</v>
      </c>
      <c r="F134" s="15" t="s">
        <v>425</v>
      </c>
      <c r="G134" s="14" t="s">
        <v>40</v>
      </c>
      <c r="H134" s="16"/>
      <c r="I134" s="16"/>
      <c r="J134" s="16"/>
    </row>
    <row r="135" customFormat="false" ht="15" hidden="false" customHeight="false" outlineLevel="0" collapsed="false">
      <c r="A135" s="13" t="s">
        <v>426</v>
      </c>
      <c r="B135" s="14" t="s">
        <v>8</v>
      </c>
      <c r="C135" s="14" t="s">
        <v>12</v>
      </c>
      <c r="D135" s="14" t="s">
        <v>427</v>
      </c>
      <c r="E135" s="14" t="s">
        <v>23</v>
      </c>
      <c r="F135" s="15" t="s">
        <v>428</v>
      </c>
      <c r="G135" s="14" t="s">
        <v>49</v>
      </c>
      <c r="H135" s="16"/>
      <c r="I135" s="16"/>
      <c r="J135" s="16"/>
    </row>
    <row r="136" customFormat="false" ht="15" hidden="false" customHeight="false" outlineLevel="0" collapsed="false">
      <c r="A136" s="13" t="s">
        <v>429</v>
      </c>
      <c r="B136" s="14" t="s">
        <v>8</v>
      </c>
      <c r="C136" s="14" t="s">
        <v>12</v>
      </c>
      <c r="D136" s="14" t="s">
        <v>430</v>
      </c>
      <c r="E136" s="14" t="s">
        <v>18</v>
      </c>
      <c r="F136" s="15" t="s">
        <v>431</v>
      </c>
      <c r="G136" s="14" t="s">
        <v>40</v>
      </c>
      <c r="H136" s="16"/>
      <c r="I136" s="16"/>
      <c r="J136" s="16"/>
    </row>
    <row r="137" customFormat="false" ht="15" hidden="false" customHeight="false" outlineLevel="0" collapsed="false">
      <c r="A137" s="13" t="s">
        <v>432</v>
      </c>
      <c r="B137" s="14" t="s">
        <v>10</v>
      </c>
      <c r="C137" s="14" t="s">
        <v>12</v>
      </c>
      <c r="D137" s="14" t="s">
        <v>433</v>
      </c>
      <c r="E137" s="14" t="s">
        <v>17</v>
      </c>
      <c r="F137" s="15" t="s">
        <v>434</v>
      </c>
      <c r="G137" s="14" t="s">
        <v>40</v>
      </c>
      <c r="H137" s="16"/>
      <c r="I137" s="16"/>
      <c r="J137" s="16"/>
    </row>
    <row r="138" customFormat="false" ht="15" hidden="false" customHeight="false" outlineLevel="0" collapsed="false">
      <c r="A138" s="13" t="s">
        <v>435</v>
      </c>
      <c r="B138" s="14" t="s">
        <v>10</v>
      </c>
      <c r="C138" s="14" t="s">
        <v>12</v>
      </c>
      <c r="D138" s="14" t="s">
        <v>436</v>
      </c>
      <c r="E138" s="14" t="s">
        <v>18</v>
      </c>
      <c r="F138" s="15" t="s">
        <v>437</v>
      </c>
      <c r="G138" s="14" t="s">
        <v>40</v>
      </c>
      <c r="H138" s="16"/>
      <c r="I138" s="16"/>
      <c r="J138" s="16"/>
    </row>
    <row r="139" customFormat="false" ht="15" hidden="false" customHeight="false" outlineLevel="0" collapsed="false">
      <c r="A139" s="13" t="s">
        <v>438</v>
      </c>
      <c r="B139" s="14" t="s">
        <v>10</v>
      </c>
      <c r="C139" s="14" t="s">
        <v>12</v>
      </c>
      <c r="D139" s="14" t="s">
        <v>439</v>
      </c>
      <c r="E139" s="14" t="s">
        <v>20</v>
      </c>
      <c r="F139" s="15" t="s">
        <v>440</v>
      </c>
      <c r="G139" s="14" t="s">
        <v>40</v>
      </c>
      <c r="H139" s="16"/>
      <c r="I139" s="16"/>
      <c r="J139" s="16"/>
    </row>
    <row r="140" customFormat="false" ht="15" hidden="false" customHeight="false" outlineLevel="0" collapsed="false">
      <c r="A140" s="13" t="s">
        <v>441</v>
      </c>
      <c r="B140" s="14" t="s">
        <v>10</v>
      </c>
      <c r="C140" s="14" t="s">
        <v>12</v>
      </c>
      <c r="D140" s="14" t="s">
        <v>442</v>
      </c>
      <c r="E140" s="14" t="s">
        <v>17</v>
      </c>
      <c r="F140" s="15" t="s">
        <v>443</v>
      </c>
      <c r="G140" s="14" t="s">
        <v>40</v>
      </c>
      <c r="H140" s="16"/>
      <c r="I140" s="16"/>
      <c r="J140" s="16"/>
    </row>
    <row r="141" customFormat="false" ht="15" hidden="false" customHeight="false" outlineLevel="0" collapsed="false">
      <c r="A141" s="13" t="s">
        <v>444</v>
      </c>
      <c r="B141" s="14" t="s">
        <v>10</v>
      </c>
      <c r="C141" s="14" t="s">
        <v>12</v>
      </c>
      <c r="D141" s="14" t="s">
        <v>445</v>
      </c>
      <c r="E141" s="14" t="s">
        <v>18</v>
      </c>
      <c r="F141" s="15" t="s">
        <v>446</v>
      </c>
      <c r="G141" s="14" t="s">
        <v>40</v>
      </c>
      <c r="H141" s="16"/>
      <c r="I141" s="16"/>
      <c r="J141" s="16"/>
    </row>
    <row r="142" customFormat="false" ht="15" hidden="false" customHeight="false" outlineLevel="0" collapsed="false">
      <c r="A142" s="13" t="s">
        <v>447</v>
      </c>
      <c r="B142" s="14" t="s">
        <v>10</v>
      </c>
      <c r="C142" s="14" t="s">
        <v>12</v>
      </c>
      <c r="D142" s="14" t="s">
        <v>448</v>
      </c>
      <c r="E142" s="14" t="s">
        <v>17</v>
      </c>
      <c r="F142" s="15" t="s">
        <v>449</v>
      </c>
      <c r="G142" s="14" t="s">
        <v>40</v>
      </c>
      <c r="H142" s="16"/>
      <c r="I142" s="16"/>
      <c r="J142" s="16"/>
    </row>
    <row r="143" customFormat="false" ht="15" hidden="false" customHeight="false" outlineLevel="0" collapsed="false">
      <c r="A143" s="13" t="s">
        <v>450</v>
      </c>
      <c r="B143" s="14" t="s">
        <v>10</v>
      </c>
      <c r="C143" s="14" t="s">
        <v>12</v>
      </c>
      <c r="D143" s="14" t="s">
        <v>448</v>
      </c>
      <c r="E143" s="14" t="s">
        <v>19</v>
      </c>
      <c r="F143" s="17" t="s">
        <v>451</v>
      </c>
      <c r="G143" s="14" t="s">
        <v>40</v>
      </c>
      <c r="H143" s="16"/>
      <c r="I143" s="16"/>
      <c r="J143" s="16"/>
    </row>
    <row r="144" customFormat="false" ht="15" hidden="false" customHeight="false" outlineLevel="0" collapsed="false">
      <c r="A144" s="13" t="s">
        <v>452</v>
      </c>
      <c r="B144" s="14" t="s">
        <v>10</v>
      </c>
      <c r="C144" s="14" t="s">
        <v>12</v>
      </c>
      <c r="D144" s="14" t="s">
        <v>453</v>
      </c>
      <c r="E144" s="14" t="s">
        <v>18</v>
      </c>
      <c r="F144" s="15" t="s">
        <v>454</v>
      </c>
      <c r="G144" s="14" t="s">
        <v>40</v>
      </c>
      <c r="H144" s="16"/>
      <c r="I144" s="16"/>
      <c r="J144" s="16"/>
    </row>
    <row r="145" customFormat="false" ht="15" hidden="false" customHeight="false" outlineLevel="0" collapsed="false">
      <c r="A145" s="13" t="s">
        <v>455</v>
      </c>
      <c r="B145" s="14" t="s">
        <v>10</v>
      </c>
      <c r="C145" s="14" t="s">
        <v>12</v>
      </c>
      <c r="D145" s="14" t="s">
        <v>456</v>
      </c>
      <c r="E145" s="14" t="s">
        <v>17</v>
      </c>
      <c r="F145" s="15" t="s">
        <v>457</v>
      </c>
      <c r="G145" s="14" t="s">
        <v>49</v>
      </c>
      <c r="H145" s="16"/>
      <c r="I145" s="16"/>
      <c r="J145" s="16"/>
    </row>
    <row r="146" customFormat="false" ht="15" hidden="false" customHeight="false" outlineLevel="0" collapsed="false">
      <c r="A146" s="13" t="s">
        <v>458</v>
      </c>
      <c r="B146" s="14" t="s">
        <v>10</v>
      </c>
      <c r="C146" s="14" t="s">
        <v>12</v>
      </c>
      <c r="D146" s="14" t="s">
        <v>459</v>
      </c>
      <c r="E146" s="14" t="s">
        <v>20</v>
      </c>
      <c r="F146" s="15" t="s">
        <v>460</v>
      </c>
      <c r="G146" s="14" t="s">
        <v>49</v>
      </c>
      <c r="H146" s="16"/>
      <c r="I146" s="16"/>
      <c r="J146" s="16"/>
    </row>
    <row r="147" customFormat="false" ht="15" hidden="false" customHeight="false" outlineLevel="0" collapsed="false">
      <c r="A147" s="13" t="s">
        <v>461</v>
      </c>
      <c r="B147" s="14" t="s">
        <v>10</v>
      </c>
      <c r="C147" s="14" t="s">
        <v>12</v>
      </c>
      <c r="D147" s="14" t="s">
        <v>462</v>
      </c>
      <c r="E147" s="14" t="s">
        <v>25</v>
      </c>
      <c r="F147" s="15" t="s">
        <v>463</v>
      </c>
      <c r="G147" s="14" t="s">
        <v>49</v>
      </c>
      <c r="H147" s="16"/>
      <c r="I147" s="16"/>
      <c r="J147" s="16"/>
    </row>
    <row r="148" customFormat="false" ht="15" hidden="false" customHeight="false" outlineLevel="0" collapsed="false">
      <c r="A148" s="13" t="s">
        <v>464</v>
      </c>
      <c r="B148" s="14" t="s">
        <v>10</v>
      </c>
      <c r="C148" s="14" t="s">
        <v>12</v>
      </c>
      <c r="D148" s="14" t="s">
        <v>465</v>
      </c>
      <c r="E148" s="14" t="s">
        <v>23</v>
      </c>
      <c r="F148" s="15" t="s">
        <v>466</v>
      </c>
      <c r="G148" s="14" t="s">
        <v>49</v>
      </c>
      <c r="H148" s="16"/>
      <c r="I148" s="16"/>
      <c r="J148" s="16"/>
    </row>
    <row r="149" customFormat="false" ht="15" hidden="false" customHeight="false" outlineLevel="0" collapsed="false">
      <c r="A149" s="13" t="s">
        <v>467</v>
      </c>
      <c r="B149" s="14" t="s">
        <v>10</v>
      </c>
      <c r="C149" s="14" t="s">
        <v>12</v>
      </c>
      <c r="D149" s="14" t="s">
        <v>468</v>
      </c>
      <c r="E149" s="14" t="s">
        <v>17</v>
      </c>
      <c r="F149" s="15" t="s">
        <v>469</v>
      </c>
      <c r="G149" s="14" t="s">
        <v>40</v>
      </c>
      <c r="H149" s="16"/>
      <c r="I149" s="16"/>
      <c r="J149" s="16"/>
    </row>
    <row r="150" customFormat="false" ht="15" hidden="false" customHeight="false" outlineLevel="0" collapsed="false">
      <c r="A150" s="13" t="s">
        <v>470</v>
      </c>
      <c r="B150" s="14" t="s">
        <v>10</v>
      </c>
      <c r="C150" s="14" t="s">
        <v>12</v>
      </c>
      <c r="D150" s="14" t="s">
        <v>471</v>
      </c>
      <c r="E150" s="14" t="s">
        <v>20</v>
      </c>
      <c r="F150" s="15" t="s">
        <v>472</v>
      </c>
      <c r="G150" s="14" t="s">
        <v>40</v>
      </c>
      <c r="H150" s="16"/>
      <c r="I150" s="16"/>
      <c r="J150" s="16"/>
    </row>
    <row r="151" customFormat="false" ht="15" hidden="false" customHeight="false" outlineLevel="0" collapsed="false">
      <c r="A151" s="13" t="s">
        <v>473</v>
      </c>
      <c r="B151" s="14" t="s">
        <v>10</v>
      </c>
      <c r="C151" s="14" t="s">
        <v>12</v>
      </c>
      <c r="D151" s="14" t="s">
        <v>474</v>
      </c>
      <c r="E151" s="14" t="s">
        <v>18</v>
      </c>
      <c r="F151" s="15" t="s">
        <v>475</v>
      </c>
      <c r="G151" s="14" t="s">
        <v>40</v>
      </c>
      <c r="H151" s="16"/>
      <c r="I151" s="16"/>
      <c r="J151" s="16"/>
    </row>
    <row r="152" customFormat="false" ht="15" hidden="false" customHeight="false" outlineLevel="0" collapsed="false">
      <c r="A152" s="13" t="s">
        <v>476</v>
      </c>
      <c r="B152" s="14" t="s">
        <v>10</v>
      </c>
      <c r="C152" s="14" t="s">
        <v>12</v>
      </c>
      <c r="D152" s="14" t="s">
        <v>477</v>
      </c>
      <c r="E152" s="14" t="s">
        <v>17</v>
      </c>
      <c r="F152" s="15" t="s">
        <v>478</v>
      </c>
      <c r="G152" s="14" t="s">
        <v>40</v>
      </c>
      <c r="H152" s="16"/>
      <c r="I152" s="16"/>
      <c r="J152" s="16"/>
    </row>
    <row r="153" customFormat="false" ht="15" hidden="false" customHeight="false" outlineLevel="0" collapsed="false">
      <c r="A153" s="13" t="s">
        <v>479</v>
      </c>
      <c r="B153" s="14" t="s">
        <v>10</v>
      </c>
      <c r="C153" s="14" t="s">
        <v>12</v>
      </c>
      <c r="D153" s="14" t="s">
        <v>480</v>
      </c>
      <c r="E153" s="14" t="s">
        <v>19</v>
      </c>
      <c r="F153" s="17" t="s">
        <v>481</v>
      </c>
      <c r="G153" s="14" t="s">
        <v>40</v>
      </c>
      <c r="H153" s="16"/>
      <c r="I153" s="16"/>
      <c r="J153" s="16"/>
    </row>
    <row r="154" customFormat="false" ht="15" hidden="false" customHeight="false" outlineLevel="0" collapsed="false">
      <c r="A154" s="13" t="s">
        <v>482</v>
      </c>
      <c r="B154" s="14" t="s">
        <v>10</v>
      </c>
      <c r="C154" s="14" t="s">
        <v>12</v>
      </c>
      <c r="D154" s="14" t="s">
        <v>483</v>
      </c>
      <c r="E154" s="14" t="s">
        <v>20</v>
      </c>
      <c r="F154" s="15" t="s">
        <v>484</v>
      </c>
      <c r="G154" s="14" t="s">
        <v>40</v>
      </c>
      <c r="H154" s="16"/>
      <c r="I154" s="16"/>
      <c r="J154" s="16"/>
    </row>
    <row r="155" customFormat="false" ht="15" hidden="false" customHeight="false" outlineLevel="0" collapsed="false">
      <c r="A155" s="13" t="s">
        <v>485</v>
      </c>
      <c r="B155" s="14" t="s">
        <v>10</v>
      </c>
      <c r="C155" s="14" t="s">
        <v>12</v>
      </c>
      <c r="D155" s="14" t="s">
        <v>483</v>
      </c>
      <c r="E155" s="14" t="s">
        <v>18</v>
      </c>
      <c r="F155" s="15" t="s">
        <v>486</v>
      </c>
      <c r="G155" s="14" t="s">
        <v>40</v>
      </c>
      <c r="H155" s="16"/>
      <c r="I155" s="16"/>
      <c r="J155" s="16"/>
    </row>
    <row r="156" customFormat="false" ht="15" hidden="false" customHeight="false" outlineLevel="0" collapsed="false">
      <c r="A156" s="13" t="s">
        <v>487</v>
      </c>
      <c r="B156" s="14" t="s">
        <v>10</v>
      </c>
      <c r="C156" s="14" t="s">
        <v>12</v>
      </c>
      <c r="D156" s="14" t="s">
        <v>488</v>
      </c>
      <c r="E156" s="14" t="s">
        <v>17</v>
      </c>
      <c r="F156" s="15" t="s">
        <v>489</v>
      </c>
      <c r="G156" s="14" t="s">
        <v>40</v>
      </c>
      <c r="H156" s="16"/>
      <c r="I156" s="16"/>
      <c r="J156" s="16"/>
    </row>
    <row r="157" customFormat="false" ht="15" hidden="false" customHeight="false" outlineLevel="0" collapsed="false">
      <c r="A157" s="13" t="s">
        <v>490</v>
      </c>
      <c r="B157" s="14" t="s">
        <v>10</v>
      </c>
      <c r="C157" s="14" t="s">
        <v>12</v>
      </c>
      <c r="D157" s="14" t="s">
        <v>491</v>
      </c>
      <c r="E157" s="14" t="s">
        <v>18</v>
      </c>
      <c r="F157" s="15" t="s">
        <v>492</v>
      </c>
      <c r="G157" s="14" t="s">
        <v>40</v>
      </c>
      <c r="H157" s="16"/>
      <c r="I157" s="16"/>
      <c r="J157" s="16"/>
    </row>
    <row r="158" customFormat="false" ht="15" hidden="false" customHeight="false" outlineLevel="0" collapsed="false">
      <c r="A158" s="13" t="s">
        <v>493</v>
      </c>
      <c r="B158" s="14" t="s">
        <v>10</v>
      </c>
      <c r="C158" s="14" t="s">
        <v>12</v>
      </c>
      <c r="D158" s="14" t="s">
        <v>494</v>
      </c>
      <c r="E158" s="14" t="s">
        <v>20</v>
      </c>
      <c r="F158" s="15" t="s">
        <v>495</v>
      </c>
      <c r="G158" s="14" t="s">
        <v>40</v>
      </c>
      <c r="H158" s="16"/>
      <c r="I158" s="16"/>
      <c r="J158" s="16"/>
    </row>
    <row r="159" customFormat="false" ht="15" hidden="false" customHeight="false" outlineLevel="0" collapsed="false">
      <c r="A159" s="13" t="s">
        <v>496</v>
      </c>
      <c r="B159" s="14" t="s">
        <v>10</v>
      </c>
      <c r="C159" s="14" t="s">
        <v>12</v>
      </c>
      <c r="D159" s="14" t="s">
        <v>497</v>
      </c>
      <c r="E159" s="14" t="s">
        <v>22</v>
      </c>
      <c r="F159" s="15" t="s">
        <v>498</v>
      </c>
      <c r="G159" s="14" t="s">
        <v>40</v>
      </c>
      <c r="H159" s="16"/>
      <c r="I159" s="16"/>
      <c r="J159" s="16"/>
    </row>
    <row r="160" customFormat="false" ht="15" hidden="false" customHeight="false" outlineLevel="0" collapsed="false">
      <c r="A160" s="13" t="s">
        <v>499</v>
      </c>
      <c r="B160" s="14" t="s">
        <v>10</v>
      </c>
      <c r="C160" s="14" t="s">
        <v>12</v>
      </c>
      <c r="D160" s="14" t="s">
        <v>500</v>
      </c>
      <c r="E160" s="14" t="s">
        <v>17</v>
      </c>
      <c r="F160" s="15" t="s">
        <v>501</v>
      </c>
      <c r="G160" s="14" t="s">
        <v>40</v>
      </c>
      <c r="H160" s="16"/>
      <c r="I160" s="16"/>
      <c r="J160" s="16"/>
    </row>
    <row r="161" customFormat="false" ht="15" hidden="false" customHeight="false" outlineLevel="0" collapsed="false">
      <c r="A161" s="13" t="s">
        <v>502</v>
      </c>
      <c r="B161" s="14" t="s">
        <v>10</v>
      </c>
      <c r="C161" s="14" t="s">
        <v>12</v>
      </c>
      <c r="D161" s="14" t="s">
        <v>503</v>
      </c>
      <c r="E161" s="14" t="s">
        <v>22</v>
      </c>
      <c r="F161" s="15" t="s">
        <v>504</v>
      </c>
      <c r="G161" s="14" t="s">
        <v>40</v>
      </c>
      <c r="H161" s="16"/>
      <c r="I161" s="16"/>
      <c r="J161" s="16"/>
    </row>
    <row r="162" customFormat="false" ht="15" hidden="false" customHeight="false" outlineLevel="0" collapsed="false">
      <c r="A162" s="13" t="s">
        <v>505</v>
      </c>
      <c r="B162" s="14" t="s">
        <v>10</v>
      </c>
      <c r="C162" s="14" t="s">
        <v>12</v>
      </c>
      <c r="D162" s="14" t="s">
        <v>506</v>
      </c>
      <c r="E162" s="14" t="s">
        <v>18</v>
      </c>
      <c r="F162" s="15" t="s">
        <v>507</v>
      </c>
      <c r="G162" s="14" t="s">
        <v>40</v>
      </c>
      <c r="H162" s="16"/>
      <c r="I162" s="16"/>
      <c r="J162" s="16"/>
    </row>
    <row r="163" customFormat="false" ht="15" hidden="false" customHeight="false" outlineLevel="0" collapsed="false">
      <c r="A163" s="13" t="s">
        <v>508</v>
      </c>
      <c r="B163" s="14" t="s">
        <v>10</v>
      </c>
      <c r="C163" s="14" t="s">
        <v>12</v>
      </c>
      <c r="D163" s="14" t="s">
        <v>509</v>
      </c>
      <c r="E163" s="14" t="s">
        <v>20</v>
      </c>
      <c r="F163" s="15" t="s">
        <v>510</v>
      </c>
      <c r="G163" s="14" t="s">
        <v>40</v>
      </c>
      <c r="H163" s="16"/>
      <c r="I163" s="16"/>
      <c r="J163" s="16"/>
    </row>
    <row r="164" customFormat="false" ht="15" hidden="false" customHeight="false" outlineLevel="0" collapsed="false">
      <c r="A164" s="13" t="s">
        <v>511</v>
      </c>
      <c r="B164" s="14" t="s">
        <v>10</v>
      </c>
      <c r="C164" s="14" t="s">
        <v>12</v>
      </c>
      <c r="D164" s="14" t="s">
        <v>512</v>
      </c>
      <c r="E164" s="14" t="s">
        <v>17</v>
      </c>
      <c r="F164" s="15" t="s">
        <v>513</v>
      </c>
      <c r="G164" s="14" t="s">
        <v>40</v>
      </c>
      <c r="H164" s="16"/>
      <c r="I164" s="16"/>
      <c r="J164" s="16"/>
    </row>
    <row r="165" customFormat="false" ht="15" hidden="false" customHeight="false" outlineLevel="0" collapsed="false">
      <c r="A165" s="13" t="s">
        <v>514</v>
      </c>
      <c r="B165" s="14" t="s">
        <v>10</v>
      </c>
      <c r="C165" s="14" t="s">
        <v>12</v>
      </c>
      <c r="D165" s="14" t="s">
        <v>515</v>
      </c>
      <c r="E165" s="14" t="s">
        <v>18</v>
      </c>
      <c r="F165" s="15" t="s">
        <v>516</v>
      </c>
      <c r="G165" s="14" t="s">
        <v>40</v>
      </c>
      <c r="H165" s="16"/>
      <c r="I165" s="16"/>
      <c r="J165" s="16"/>
    </row>
    <row r="166" customFormat="false" ht="15" hidden="false" customHeight="false" outlineLevel="0" collapsed="false">
      <c r="A166" s="13" t="s">
        <v>517</v>
      </c>
      <c r="B166" s="14" t="s">
        <v>10</v>
      </c>
      <c r="C166" s="14" t="s">
        <v>12</v>
      </c>
      <c r="D166" s="14" t="s">
        <v>518</v>
      </c>
      <c r="E166" s="14" t="s">
        <v>21</v>
      </c>
      <c r="F166" s="15" t="s">
        <v>519</v>
      </c>
      <c r="G166" s="14" t="s">
        <v>40</v>
      </c>
      <c r="H166" s="16"/>
      <c r="I166" s="16"/>
      <c r="J166" s="16"/>
    </row>
    <row r="167" customFormat="false" ht="15" hidden="false" customHeight="false" outlineLevel="0" collapsed="false">
      <c r="A167" s="13" t="s">
        <v>520</v>
      </c>
      <c r="B167" s="14" t="s">
        <v>10</v>
      </c>
      <c r="C167" s="14" t="s">
        <v>12</v>
      </c>
      <c r="D167" s="14" t="s">
        <v>521</v>
      </c>
      <c r="E167" s="14" t="s">
        <v>18</v>
      </c>
      <c r="F167" s="15" t="s">
        <v>522</v>
      </c>
      <c r="G167" s="14" t="s">
        <v>40</v>
      </c>
      <c r="H167" s="16"/>
      <c r="I167" s="16"/>
      <c r="J167" s="16"/>
    </row>
    <row r="168" customFormat="false" ht="15" hidden="false" customHeight="false" outlineLevel="0" collapsed="false">
      <c r="A168" s="13" t="s">
        <v>523</v>
      </c>
      <c r="B168" s="14" t="s">
        <v>10</v>
      </c>
      <c r="C168" s="14" t="s">
        <v>12</v>
      </c>
      <c r="D168" s="14" t="s">
        <v>521</v>
      </c>
      <c r="E168" s="14" t="s">
        <v>19</v>
      </c>
      <c r="F168" s="17" t="s">
        <v>524</v>
      </c>
      <c r="G168" s="14" t="s">
        <v>40</v>
      </c>
      <c r="H168" s="16"/>
      <c r="I168" s="16"/>
      <c r="J168" s="16"/>
    </row>
    <row r="169" customFormat="false" ht="15" hidden="false" customHeight="false" outlineLevel="0" collapsed="false">
      <c r="A169" s="13" t="s">
        <v>525</v>
      </c>
      <c r="B169" s="14" t="s">
        <v>10</v>
      </c>
      <c r="C169" s="14" t="s">
        <v>12</v>
      </c>
      <c r="D169" s="14" t="s">
        <v>526</v>
      </c>
      <c r="E169" s="14" t="s">
        <v>17</v>
      </c>
      <c r="F169" s="15" t="s">
        <v>527</v>
      </c>
      <c r="G169" s="14" t="s">
        <v>40</v>
      </c>
      <c r="H169" s="16"/>
      <c r="I169" s="16"/>
      <c r="J169" s="16"/>
    </row>
    <row r="170" customFormat="false" ht="15" hidden="false" customHeight="false" outlineLevel="0" collapsed="false">
      <c r="A170" s="13" t="s">
        <v>528</v>
      </c>
      <c r="B170" s="14" t="s">
        <v>10</v>
      </c>
      <c r="C170" s="14" t="s">
        <v>12</v>
      </c>
      <c r="D170" s="14" t="s">
        <v>529</v>
      </c>
      <c r="E170" s="14" t="s">
        <v>24</v>
      </c>
      <c r="F170" s="15" t="s">
        <v>530</v>
      </c>
      <c r="G170" s="14" t="s">
        <v>40</v>
      </c>
      <c r="H170" s="16"/>
      <c r="I170" s="16"/>
      <c r="J170" s="16"/>
    </row>
    <row r="171" customFormat="false" ht="15" hidden="false" customHeight="false" outlineLevel="0" collapsed="false">
      <c r="A171" s="13" t="s">
        <v>531</v>
      </c>
      <c r="B171" s="14" t="s">
        <v>10</v>
      </c>
      <c r="C171" s="14" t="s">
        <v>12</v>
      </c>
      <c r="D171" s="14" t="s">
        <v>532</v>
      </c>
      <c r="E171" s="14" t="s">
        <v>17</v>
      </c>
      <c r="F171" s="15" t="s">
        <v>533</v>
      </c>
      <c r="G171" s="14" t="s">
        <v>40</v>
      </c>
      <c r="H171" s="16"/>
      <c r="I171" s="16"/>
      <c r="J171" s="16"/>
    </row>
    <row r="172" customFormat="false" ht="15" hidden="false" customHeight="false" outlineLevel="0" collapsed="false">
      <c r="A172" s="13" t="s">
        <v>534</v>
      </c>
      <c r="B172" s="14" t="s">
        <v>10</v>
      </c>
      <c r="C172" s="14" t="s">
        <v>12</v>
      </c>
      <c r="D172" s="14" t="s">
        <v>535</v>
      </c>
      <c r="E172" s="14" t="s">
        <v>20</v>
      </c>
      <c r="F172" s="15" t="s">
        <v>536</v>
      </c>
      <c r="G172" s="14" t="s">
        <v>40</v>
      </c>
      <c r="H172" s="16"/>
      <c r="I172" s="16"/>
      <c r="J172" s="16"/>
    </row>
    <row r="173" customFormat="false" ht="15" hidden="false" customHeight="false" outlineLevel="0" collapsed="false">
      <c r="A173" s="13" t="s">
        <v>537</v>
      </c>
      <c r="B173" s="14" t="s">
        <v>10</v>
      </c>
      <c r="C173" s="14" t="s">
        <v>12</v>
      </c>
      <c r="D173" s="14" t="s">
        <v>538</v>
      </c>
      <c r="E173" s="14" t="s">
        <v>18</v>
      </c>
      <c r="F173" s="15" t="s">
        <v>539</v>
      </c>
      <c r="G173" s="14" t="s">
        <v>40</v>
      </c>
      <c r="H173" s="16"/>
      <c r="I173" s="16"/>
      <c r="J173" s="16"/>
    </row>
    <row r="174" customFormat="false" ht="15" hidden="false" customHeight="false" outlineLevel="0" collapsed="false">
      <c r="A174" s="13" t="s">
        <v>540</v>
      </c>
      <c r="B174" s="14" t="s">
        <v>10</v>
      </c>
      <c r="C174" s="14" t="s">
        <v>12</v>
      </c>
      <c r="D174" s="14" t="s">
        <v>541</v>
      </c>
      <c r="E174" s="14" t="s">
        <v>17</v>
      </c>
      <c r="F174" s="15" t="s">
        <v>542</v>
      </c>
      <c r="G174" s="14" t="s">
        <v>40</v>
      </c>
      <c r="H174" s="16"/>
      <c r="I174" s="16"/>
      <c r="J174" s="16"/>
    </row>
    <row r="175" customFormat="false" ht="15" hidden="false" customHeight="false" outlineLevel="0" collapsed="false">
      <c r="A175" s="13" t="s">
        <v>543</v>
      </c>
      <c r="B175" s="14" t="s">
        <v>10</v>
      </c>
      <c r="C175" s="14" t="s">
        <v>12</v>
      </c>
      <c r="D175" s="14" t="s">
        <v>544</v>
      </c>
      <c r="E175" s="14" t="s">
        <v>23</v>
      </c>
      <c r="F175" s="15" t="s">
        <v>545</v>
      </c>
      <c r="G175" s="14" t="s">
        <v>49</v>
      </c>
      <c r="H175" s="16"/>
      <c r="I175" s="16"/>
      <c r="J175" s="16"/>
    </row>
    <row r="176" customFormat="false" ht="15" hidden="false" customHeight="false" outlineLevel="0" collapsed="false">
      <c r="A176" s="13" t="s">
        <v>546</v>
      </c>
      <c r="B176" s="14" t="s">
        <v>10</v>
      </c>
      <c r="C176" s="14" t="s">
        <v>12</v>
      </c>
      <c r="D176" s="14" t="s">
        <v>547</v>
      </c>
      <c r="E176" s="14" t="s">
        <v>18</v>
      </c>
      <c r="F176" s="15" t="s">
        <v>548</v>
      </c>
      <c r="G176" s="14" t="s">
        <v>40</v>
      </c>
      <c r="H176" s="16"/>
      <c r="I176" s="16"/>
      <c r="J176" s="16"/>
    </row>
    <row r="177" customFormat="false" ht="15" hidden="false" customHeight="false" outlineLevel="0" collapsed="false">
      <c r="A177" s="13" t="s">
        <v>549</v>
      </c>
      <c r="B177" s="14" t="s">
        <v>10</v>
      </c>
      <c r="C177" s="14" t="s">
        <v>12</v>
      </c>
      <c r="D177" s="14" t="s">
        <v>550</v>
      </c>
      <c r="E177" s="14" t="s">
        <v>21</v>
      </c>
      <c r="F177" s="15" t="s">
        <v>551</v>
      </c>
      <c r="G177" s="14" t="s">
        <v>40</v>
      </c>
      <c r="H177" s="16"/>
      <c r="I177" s="16"/>
      <c r="J177" s="16"/>
    </row>
    <row r="178" customFormat="false" ht="15" hidden="false" customHeight="false" outlineLevel="0" collapsed="false">
      <c r="A178" s="13" t="s">
        <v>552</v>
      </c>
      <c r="B178" s="14" t="s">
        <v>10</v>
      </c>
      <c r="C178" s="14" t="s">
        <v>12</v>
      </c>
      <c r="D178" s="14" t="s">
        <v>553</v>
      </c>
      <c r="E178" s="14" t="s">
        <v>25</v>
      </c>
      <c r="F178" s="15" t="s">
        <v>554</v>
      </c>
      <c r="G178" s="14" t="s">
        <v>40</v>
      </c>
      <c r="H178" s="16"/>
      <c r="I178" s="16"/>
      <c r="J178" s="16"/>
    </row>
    <row r="179" customFormat="false" ht="15" hidden="false" customHeight="false" outlineLevel="0" collapsed="false">
      <c r="A179" s="13" t="s">
        <v>555</v>
      </c>
      <c r="B179" s="14" t="s">
        <v>10</v>
      </c>
      <c r="C179" s="14" t="s">
        <v>12</v>
      </c>
      <c r="D179" s="14" t="s">
        <v>556</v>
      </c>
      <c r="E179" s="14" t="s">
        <v>23</v>
      </c>
      <c r="F179" s="15" t="s">
        <v>557</v>
      </c>
      <c r="G179" s="14" t="s">
        <v>40</v>
      </c>
      <c r="H179" s="16"/>
      <c r="I179" s="16"/>
      <c r="J179" s="16"/>
    </row>
    <row r="180" customFormat="false" ht="15" hidden="false" customHeight="false" outlineLevel="0" collapsed="false">
      <c r="A180" s="13" t="s">
        <v>558</v>
      </c>
      <c r="B180" s="14" t="s">
        <v>10</v>
      </c>
      <c r="C180" s="14" t="s">
        <v>12</v>
      </c>
      <c r="D180" s="14" t="s">
        <v>559</v>
      </c>
      <c r="E180" s="14" t="s">
        <v>17</v>
      </c>
      <c r="F180" s="15" t="s">
        <v>560</v>
      </c>
      <c r="G180" s="14" t="s">
        <v>310</v>
      </c>
      <c r="H180" s="16"/>
      <c r="I180" s="16"/>
      <c r="J180" s="16"/>
    </row>
    <row r="181" customFormat="false" ht="15" hidden="false" customHeight="false" outlineLevel="0" collapsed="false">
      <c r="A181" s="13" t="s">
        <v>561</v>
      </c>
      <c r="B181" s="14" t="s">
        <v>10</v>
      </c>
      <c r="C181" s="14" t="s">
        <v>12</v>
      </c>
      <c r="D181" s="14" t="s">
        <v>562</v>
      </c>
      <c r="E181" s="14" t="s">
        <v>19</v>
      </c>
      <c r="F181" s="17" t="s">
        <v>563</v>
      </c>
      <c r="G181" s="14" t="s">
        <v>310</v>
      </c>
      <c r="H181" s="16"/>
      <c r="I181" s="16"/>
      <c r="J181" s="16"/>
    </row>
    <row r="182" customFormat="false" ht="15" hidden="false" customHeight="false" outlineLevel="0" collapsed="false">
      <c r="A182" s="13" t="s">
        <v>564</v>
      </c>
      <c r="B182" s="14" t="s">
        <v>11</v>
      </c>
      <c r="C182" s="14" t="s">
        <v>12</v>
      </c>
      <c r="D182" s="14" t="s">
        <v>565</v>
      </c>
      <c r="E182" s="14" t="s">
        <v>17</v>
      </c>
      <c r="F182" s="15" t="s">
        <v>566</v>
      </c>
      <c r="G182" s="14" t="s">
        <v>310</v>
      </c>
      <c r="H182" s="16"/>
      <c r="I182" s="16"/>
      <c r="J182" s="16"/>
    </row>
    <row r="183" customFormat="false" ht="15" hidden="false" customHeight="false" outlineLevel="0" collapsed="false">
      <c r="A183" s="13" t="s">
        <v>567</v>
      </c>
      <c r="B183" s="14" t="s">
        <v>11</v>
      </c>
      <c r="C183" s="14" t="s">
        <v>12</v>
      </c>
      <c r="D183" s="14" t="s">
        <v>568</v>
      </c>
      <c r="E183" s="14" t="s">
        <v>20</v>
      </c>
      <c r="F183" s="15" t="s">
        <v>569</v>
      </c>
      <c r="G183" s="14" t="s">
        <v>40</v>
      </c>
      <c r="H183" s="16"/>
      <c r="I183" s="16"/>
      <c r="J183" s="16"/>
    </row>
    <row r="184" customFormat="false" ht="15" hidden="false" customHeight="false" outlineLevel="0" collapsed="false">
      <c r="A184" s="13" t="s">
        <v>570</v>
      </c>
      <c r="B184" s="14" t="s">
        <v>11</v>
      </c>
      <c r="C184" s="14" t="s">
        <v>12</v>
      </c>
      <c r="D184" s="14" t="s">
        <v>571</v>
      </c>
      <c r="E184" s="14" t="s">
        <v>18</v>
      </c>
      <c r="F184" s="15" t="s">
        <v>572</v>
      </c>
      <c r="G184" s="14" t="s">
        <v>49</v>
      </c>
      <c r="H184" s="16"/>
      <c r="I184" s="16"/>
      <c r="J184" s="16"/>
    </row>
    <row r="185" customFormat="false" ht="15" hidden="false" customHeight="false" outlineLevel="0" collapsed="false">
      <c r="A185" s="13" t="s">
        <v>573</v>
      </c>
      <c r="B185" s="14" t="s">
        <v>11</v>
      </c>
      <c r="C185" s="14" t="s">
        <v>12</v>
      </c>
      <c r="D185" s="14" t="s">
        <v>574</v>
      </c>
      <c r="E185" s="14" t="s">
        <v>17</v>
      </c>
      <c r="F185" s="15" t="s">
        <v>575</v>
      </c>
      <c r="G185" s="14" t="s">
        <v>310</v>
      </c>
      <c r="H185" s="16"/>
      <c r="I185" s="16"/>
      <c r="J185" s="16"/>
    </row>
    <row r="186" customFormat="false" ht="15" hidden="false" customHeight="false" outlineLevel="0" collapsed="false">
      <c r="A186" s="13" t="s">
        <v>576</v>
      </c>
      <c r="B186" s="14" t="s">
        <v>11</v>
      </c>
      <c r="C186" s="14" t="s">
        <v>12</v>
      </c>
      <c r="D186" s="14" t="s">
        <v>577</v>
      </c>
      <c r="E186" s="14" t="s">
        <v>18</v>
      </c>
      <c r="F186" s="15" t="s">
        <v>578</v>
      </c>
      <c r="G186" s="14" t="s">
        <v>40</v>
      </c>
      <c r="H186" s="16"/>
      <c r="I186" s="16"/>
      <c r="J186" s="16"/>
    </row>
    <row r="187" customFormat="false" ht="15" hidden="false" customHeight="false" outlineLevel="0" collapsed="false">
      <c r="A187" s="13" t="s">
        <v>579</v>
      </c>
      <c r="B187" s="14" t="s">
        <v>11</v>
      </c>
      <c r="C187" s="14" t="s">
        <v>12</v>
      </c>
      <c r="D187" s="14" t="s">
        <v>580</v>
      </c>
      <c r="E187" s="14" t="s">
        <v>20</v>
      </c>
      <c r="F187" s="15" t="s">
        <v>581</v>
      </c>
      <c r="G187" s="14" t="s">
        <v>40</v>
      </c>
      <c r="H187" s="16"/>
      <c r="I187" s="16"/>
      <c r="J187" s="16"/>
    </row>
    <row r="188" customFormat="false" ht="15" hidden="false" customHeight="false" outlineLevel="0" collapsed="false">
      <c r="A188" s="13" t="s">
        <v>582</v>
      </c>
      <c r="B188" s="14" t="s">
        <v>11</v>
      </c>
      <c r="C188" s="14" t="s">
        <v>12</v>
      </c>
      <c r="D188" s="14" t="s">
        <v>583</v>
      </c>
      <c r="E188" s="14" t="s">
        <v>17</v>
      </c>
      <c r="F188" s="15" t="s">
        <v>584</v>
      </c>
      <c r="G188" s="14" t="s">
        <v>40</v>
      </c>
      <c r="H188" s="16"/>
      <c r="I188" s="16"/>
      <c r="J188" s="16"/>
    </row>
    <row r="189" customFormat="false" ht="15" hidden="false" customHeight="false" outlineLevel="0" collapsed="false">
      <c r="A189" s="13" t="s">
        <v>585</v>
      </c>
      <c r="B189" s="14" t="s">
        <v>11</v>
      </c>
      <c r="C189" s="14" t="s">
        <v>12</v>
      </c>
      <c r="D189" s="14" t="s">
        <v>586</v>
      </c>
      <c r="E189" s="14" t="s">
        <v>22</v>
      </c>
      <c r="F189" s="15" t="s">
        <v>587</v>
      </c>
      <c r="G189" s="14" t="s">
        <v>40</v>
      </c>
      <c r="H189" s="16"/>
      <c r="I189" s="16"/>
      <c r="J189" s="16"/>
    </row>
    <row r="190" customFormat="false" ht="15" hidden="false" customHeight="false" outlineLevel="0" collapsed="false">
      <c r="A190" s="13" t="s">
        <v>588</v>
      </c>
      <c r="B190" s="14" t="s">
        <v>11</v>
      </c>
      <c r="C190" s="14" t="s">
        <v>12</v>
      </c>
      <c r="D190" s="14" t="s">
        <v>589</v>
      </c>
      <c r="E190" s="14" t="s">
        <v>18</v>
      </c>
      <c r="F190" s="15" t="s">
        <v>590</v>
      </c>
      <c r="G190" s="14" t="s">
        <v>40</v>
      </c>
      <c r="H190" s="16"/>
      <c r="I190" s="16"/>
      <c r="J190" s="16"/>
    </row>
    <row r="191" customFormat="false" ht="15" hidden="false" customHeight="false" outlineLevel="0" collapsed="false">
      <c r="A191" s="13" t="s">
        <v>591</v>
      </c>
      <c r="B191" s="14" t="s">
        <v>11</v>
      </c>
      <c r="C191" s="14" t="s">
        <v>12</v>
      </c>
      <c r="D191" s="14" t="s">
        <v>589</v>
      </c>
      <c r="E191" s="14" t="s">
        <v>19</v>
      </c>
      <c r="F191" s="15" t="s">
        <v>592</v>
      </c>
      <c r="G191" s="14" t="s">
        <v>310</v>
      </c>
      <c r="H191" s="16"/>
      <c r="I191" s="16"/>
      <c r="J191" s="16"/>
    </row>
    <row r="192" customFormat="false" ht="15" hidden="false" customHeight="false" outlineLevel="0" collapsed="false">
      <c r="A192" s="13" t="s">
        <v>593</v>
      </c>
      <c r="B192" s="14" t="s">
        <v>11</v>
      </c>
      <c r="C192" s="14" t="s">
        <v>12</v>
      </c>
      <c r="D192" s="14" t="s">
        <v>594</v>
      </c>
      <c r="E192" s="14" t="s">
        <v>17</v>
      </c>
      <c r="F192" s="15" t="s">
        <v>595</v>
      </c>
      <c r="G192" s="14" t="s">
        <v>40</v>
      </c>
      <c r="H192" s="16"/>
      <c r="I192" s="16"/>
      <c r="J192" s="16"/>
    </row>
    <row r="193" customFormat="false" ht="15" hidden="false" customHeight="false" outlineLevel="0" collapsed="false">
      <c r="A193" s="13" t="s">
        <v>596</v>
      </c>
      <c r="B193" s="14" t="s">
        <v>11</v>
      </c>
      <c r="C193" s="14" t="s">
        <v>12</v>
      </c>
      <c r="D193" s="14" t="s">
        <v>597</v>
      </c>
      <c r="E193" s="14" t="s">
        <v>21</v>
      </c>
      <c r="F193" s="15" t="s">
        <v>598</v>
      </c>
      <c r="G193" s="14" t="s">
        <v>40</v>
      </c>
      <c r="H193" s="16"/>
      <c r="I193" s="16"/>
      <c r="J193" s="16"/>
    </row>
    <row r="194" customFormat="false" ht="15" hidden="false" customHeight="false" outlineLevel="0" collapsed="false">
      <c r="A194" s="13" t="s">
        <v>599</v>
      </c>
      <c r="B194" s="14" t="s">
        <v>11</v>
      </c>
      <c r="C194" s="14" t="s">
        <v>12</v>
      </c>
      <c r="D194" s="14" t="s">
        <v>600</v>
      </c>
      <c r="E194" s="14" t="s">
        <v>18</v>
      </c>
      <c r="F194" s="15" t="s">
        <v>601</v>
      </c>
      <c r="G194" s="14" t="s">
        <v>40</v>
      </c>
      <c r="H194" s="16"/>
      <c r="I194" s="16"/>
      <c r="J194" s="16"/>
    </row>
    <row r="195" customFormat="false" ht="15" hidden="false" customHeight="false" outlineLevel="0" collapsed="false">
      <c r="A195" s="13" t="s">
        <v>602</v>
      </c>
      <c r="B195" s="14" t="s">
        <v>11</v>
      </c>
      <c r="C195" s="14" t="s">
        <v>12</v>
      </c>
      <c r="D195" s="14" t="s">
        <v>603</v>
      </c>
      <c r="E195" s="14" t="s">
        <v>20</v>
      </c>
      <c r="F195" s="15" t="s">
        <v>604</v>
      </c>
      <c r="G195" s="14" t="s">
        <v>40</v>
      </c>
      <c r="H195" s="16"/>
      <c r="I195" s="16"/>
      <c r="J195" s="16"/>
    </row>
    <row r="196" customFormat="false" ht="15" hidden="false" customHeight="false" outlineLevel="0" collapsed="false">
      <c r="A196" s="13" t="s">
        <v>605</v>
      </c>
      <c r="B196" s="14" t="s">
        <v>11</v>
      </c>
      <c r="C196" s="14" t="s">
        <v>12</v>
      </c>
      <c r="D196" s="14" t="s">
        <v>606</v>
      </c>
      <c r="E196" s="14" t="s">
        <v>17</v>
      </c>
      <c r="F196" s="15" t="s">
        <v>607</v>
      </c>
      <c r="G196" s="14" t="s">
        <v>310</v>
      </c>
      <c r="H196" s="16"/>
      <c r="I196" s="16"/>
      <c r="J196" s="16"/>
    </row>
    <row r="197" customFormat="false" ht="15" hidden="false" customHeight="false" outlineLevel="0" collapsed="false">
      <c r="A197" s="13" t="s">
        <v>608</v>
      </c>
      <c r="B197" s="14" t="s">
        <v>11</v>
      </c>
      <c r="C197" s="14" t="s">
        <v>12</v>
      </c>
      <c r="D197" s="14" t="s">
        <v>442</v>
      </c>
      <c r="E197" s="14" t="s">
        <v>25</v>
      </c>
      <c r="F197" s="15" t="s">
        <v>609</v>
      </c>
      <c r="G197" s="14" t="s">
        <v>49</v>
      </c>
      <c r="H197" s="16"/>
      <c r="I197" s="16"/>
      <c r="J197" s="16"/>
    </row>
    <row r="198" customFormat="false" ht="15" hidden="false" customHeight="false" outlineLevel="0" collapsed="false">
      <c r="A198" s="13" t="s">
        <v>610</v>
      </c>
      <c r="B198" s="14" t="s">
        <v>11</v>
      </c>
      <c r="C198" s="14" t="s">
        <v>12</v>
      </c>
      <c r="D198" s="14" t="s">
        <v>611</v>
      </c>
      <c r="E198" s="14" t="s">
        <v>18</v>
      </c>
      <c r="F198" s="15" t="s">
        <v>612</v>
      </c>
      <c r="G198" s="14" t="s">
        <v>40</v>
      </c>
      <c r="H198" s="16"/>
      <c r="I198" s="16"/>
      <c r="J198" s="16"/>
    </row>
    <row r="199" customFormat="false" ht="15" hidden="false" customHeight="false" outlineLevel="0" collapsed="false">
      <c r="A199" s="13" t="s">
        <v>613</v>
      </c>
      <c r="B199" s="14" t="s">
        <v>11</v>
      </c>
      <c r="C199" s="14" t="s">
        <v>12</v>
      </c>
      <c r="D199" s="14" t="s">
        <v>614</v>
      </c>
      <c r="E199" s="14" t="s">
        <v>24</v>
      </c>
      <c r="F199" s="15" t="s">
        <v>615</v>
      </c>
      <c r="G199" s="14" t="s">
        <v>40</v>
      </c>
      <c r="H199" s="16"/>
      <c r="I199" s="16"/>
      <c r="J199" s="16"/>
    </row>
    <row r="200" customFormat="false" ht="15" hidden="false" customHeight="false" outlineLevel="0" collapsed="false">
      <c r="A200" s="13" t="s">
        <v>616</v>
      </c>
      <c r="B200" s="14" t="s">
        <v>11</v>
      </c>
      <c r="C200" s="14" t="s">
        <v>12</v>
      </c>
      <c r="D200" s="14" t="s">
        <v>617</v>
      </c>
      <c r="E200" s="14" t="s">
        <v>23</v>
      </c>
      <c r="F200" s="15" t="s">
        <v>618</v>
      </c>
      <c r="G200" s="14" t="s">
        <v>49</v>
      </c>
      <c r="H200" s="16"/>
      <c r="I200" s="16"/>
      <c r="J200" s="16"/>
    </row>
    <row r="201" customFormat="false" ht="15" hidden="false" customHeight="false" outlineLevel="0" collapsed="false">
      <c r="A201" s="13" t="s">
        <v>619</v>
      </c>
      <c r="B201" s="14" t="s">
        <v>11</v>
      </c>
      <c r="C201" s="14" t="s">
        <v>12</v>
      </c>
      <c r="D201" s="14" t="s">
        <v>620</v>
      </c>
      <c r="E201" s="14" t="s">
        <v>23</v>
      </c>
      <c r="F201" s="15" t="s">
        <v>621</v>
      </c>
      <c r="G201" s="14" t="s">
        <v>40</v>
      </c>
      <c r="H201" s="16"/>
      <c r="I201" s="16"/>
      <c r="J201" s="16"/>
    </row>
  </sheetData>
  <autoFilter ref="A1:J201"/>
  <dataValidations count="2">
    <dataValidation allowBlank="true" error="0~5 사이 정수를 입력하세요." errorStyle="stop" operator="between" showDropDown="false" showErrorMessage="true" showInputMessage="false" sqref="H2:H201" type="whole">
      <formula1>0</formula1>
      <formula2>5</formula2>
    </dataValidation>
    <dataValidation allowBlank="true" errorStyle="stop" operator="between" showDropDown="false" showErrorMessage="false" showInputMessage="false" sqref="I2:I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14</v>
      </c>
      <c r="B1" s="3" t="s">
        <v>622</v>
      </c>
      <c r="C1" s="3" t="s">
        <v>623</v>
      </c>
      <c r="D1" s="3" t="s">
        <v>624</v>
      </c>
    </row>
    <row r="2" customFormat="false" ht="15" hidden="false" customHeight="false" outlineLevel="0" collapsed="false">
      <c r="A2" s="18" t="s">
        <v>17</v>
      </c>
      <c r="B2" s="18" t="s">
        <v>625</v>
      </c>
      <c r="C2" s="18" t="s">
        <v>626</v>
      </c>
      <c r="D2" s="18" t="s">
        <v>73</v>
      </c>
    </row>
    <row r="3" customFormat="false" ht="15" hidden="false" customHeight="false" outlineLevel="0" collapsed="false">
      <c r="A3" s="18" t="s">
        <v>18</v>
      </c>
      <c r="B3" s="18" t="s">
        <v>627</v>
      </c>
      <c r="C3" s="18" t="s">
        <v>628</v>
      </c>
      <c r="D3" s="18" t="s">
        <v>401</v>
      </c>
    </row>
    <row r="4" customFormat="false" ht="15" hidden="false" customHeight="false" outlineLevel="0" collapsed="false">
      <c r="A4" s="18" t="s">
        <v>19</v>
      </c>
      <c r="B4" s="18" t="s">
        <v>629</v>
      </c>
      <c r="C4" s="18" t="s">
        <v>630</v>
      </c>
      <c r="D4" s="18" t="s">
        <v>42</v>
      </c>
    </row>
    <row r="5" customFormat="false" ht="15" hidden="false" customHeight="false" outlineLevel="0" collapsed="false">
      <c r="A5" s="18" t="s">
        <v>20</v>
      </c>
      <c r="B5" s="18" t="s">
        <v>631</v>
      </c>
      <c r="C5" s="18" t="s">
        <v>632</v>
      </c>
      <c r="D5" s="18" t="s">
        <v>413</v>
      </c>
    </row>
    <row r="6" customFormat="false" ht="15" hidden="false" customHeight="false" outlineLevel="0" collapsed="false">
      <c r="A6" s="18" t="s">
        <v>21</v>
      </c>
      <c r="B6" s="18" t="s">
        <v>633</v>
      </c>
      <c r="C6" s="18" t="s">
        <v>634</v>
      </c>
      <c r="D6" s="18" t="s">
        <v>419</v>
      </c>
    </row>
    <row r="7" customFormat="false" ht="15" hidden="false" customHeight="false" outlineLevel="0" collapsed="false">
      <c r="A7" s="18" t="s">
        <v>22</v>
      </c>
      <c r="B7" s="18" t="s">
        <v>635</v>
      </c>
      <c r="C7" s="18" t="s">
        <v>636</v>
      </c>
      <c r="D7" s="18" t="s">
        <v>504</v>
      </c>
    </row>
    <row r="8" customFormat="false" ht="15" hidden="false" customHeight="false" outlineLevel="0" collapsed="false">
      <c r="A8" s="18" t="s">
        <v>23</v>
      </c>
      <c r="B8" s="18" t="s">
        <v>637</v>
      </c>
      <c r="C8" s="18" t="s">
        <v>638</v>
      </c>
      <c r="D8" s="18" t="s">
        <v>639</v>
      </c>
    </row>
    <row r="9" customFormat="false" ht="15" hidden="false" customHeight="false" outlineLevel="0" collapsed="false">
      <c r="A9" s="18" t="s">
        <v>24</v>
      </c>
      <c r="B9" s="19" t="s">
        <v>640</v>
      </c>
      <c r="C9" s="18" t="s">
        <v>641</v>
      </c>
      <c r="D9" s="18" t="s">
        <v>130</v>
      </c>
    </row>
    <row r="10" customFormat="false" ht="15" hidden="false" customHeight="false" outlineLevel="0" collapsed="false">
      <c r="A10" s="18" t="s">
        <v>25</v>
      </c>
      <c r="B10" s="19" t="s">
        <v>642</v>
      </c>
      <c r="C10" s="18" t="s">
        <v>643</v>
      </c>
      <c r="D10" s="18" t="s">
        <v>147</v>
      </c>
    </row>
    <row r="11" customFormat="false" ht="15" hidden="false" customHeight="false" outlineLevel="0" collapsed="false">
      <c r="A11" s="18"/>
      <c r="B11" s="18"/>
      <c r="C11" s="18"/>
      <c r="D11" s="18"/>
    </row>
    <row r="12" customFormat="false" ht="15" hidden="false" customHeight="false" outlineLevel="0" collapsed="false">
      <c r="A12" s="20" t="s">
        <v>644</v>
      </c>
      <c r="B12" s="18"/>
      <c r="C12" s="18"/>
      <c r="D12" s="18"/>
    </row>
    <row r="13" customFormat="false" ht="15" hidden="false" customHeight="false" outlineLevel="0" collapsed="false">
      <c r="A13" s="18" t="s">
        <v>645</v>
      </c>
      <c r="B13" s="18" t="s">
        <v>646</v>
      </c>
      <c r="C13" s="18"/>
      <c r="D13" s="18" t="s">
        <v>647</v>
      </c>
    </row>
    <row r="14" customFormat="false" ht="15" hidden="false" customHeight="false" outlineLevel="0" collapsed="false">
      <c r="A14" s="19" t="s">
        <v>648</v>
      </c>
      <c r="B14" s="18" t="s">
        <v>649</v>
      </c>
      <c r="C14" s="18"/>
      <c r="D14" s="18" t="s">
        <v>650</v>
      </c>
    </row>
    <row r="15" customFormat="false" ht="15" hidden="false" customHeight="false" outlineLevel="0" collapsed="false">
      <c r="A15" s="18" t="s">
        <v>32</v>
      </c>
      <c r="B15" s="18" t="s">
        <v>651</v>
      </c>
      <c r="C15" s="18"/>
      <c r="D15" s="18" t="s">
        <v>652</v>
      </c>
    </row>
    <row r="16" customFormat="false" ht="27.6" hidden="false" customHeight="false" outlineLevel="0" collapsed="false">
      <c r="A16" s="18" t="s">
        <v>653</v>
      </c>
      <c r="B16" s="18" t="s">
        <v>654</v>
      </c>
      <c r="C16" s="18"/>
      <c r="D1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2026-10-15T08:51:35Z</dcterms:created>
  <dc:creator>openpyxl</dc:creator>
  <dc:description/>
  <dc:language>en-US</dc:language>
  <cp:lastModifiedBy/>
  <dcterms:modified xsi:type="dcterms:W3CDTF">2026-10-15T08:51:36Z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